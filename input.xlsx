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Sheet2" sheetId="2" r:id="rId6"/>
    <sheet state="visible" name="Prices" sheetId="3" r:id="rId7"/>
    <sheet state="visible" name="Sheet10" sheetId="4" r:id="rId8"/>
    <sheet state="visible" name="Sheet9" sheetId="5" r:id="rId9"/>
    <sheet state="visible" name="Sheet8" sheetId="6" r:id="rId10"/>
    <sheet state="visible" name="Sheet7" sheetId="7" r:id="rId11"/>
    <sheet state="visible" name="Sheet5" sheetId="8" r:id="rId12"/>
    <sheet state="visible" name="Sheet4" sheetId="9" r:id="rId13"/>
  </sheets>
  <definedNames/>
  <calcPr/>
</workbook>
</file>

<file path=xl/sharedStrings.xml><?xml version="1.0" encoding="utf-8"?>
<sst xmlns="http://schemas.openxmlformats.org/spreadsheetml/2006/main" count="3285" uniqueCount="184">
  <si>
    <t>Sl. No.</t>
  </si>
  <si>
    <t>Leaders</t>
  </si>
  <si>
    <t>Nationaity</t>
  </si>
  <si>
    <t>Gender</t>
  </si>
  <si>
    <t>Mass Appeal</t>
  </si>
  <si>
    <t>Political Tact</t>
  </si>
  <si>
    <t>Volitality Index</t>
  </si>
  <si>
    <t>Spectrum</t>
  </si>
  <si>
    <t>Total</t>
  </si>
  <si>
    <t>Base Price</t>
  </si>
  <si>
    <t>Jacinda Ardern</t>
  </si>
  <si>
    <t>F</t>
  </si>
  <si>
    <t>BR Ambedkar</t>
  </si>
  <si>
    <t>I</t>
  </si>
  <si>
    <t>M</t>
  </si>
  <si>
    <t>Martin Luther King Jr</t>
  </si>
  <si>
    <t>Lal Bahadur Shastri</t>
  </si>
  <si>
    <t>Rajnath Singh</t>
  </si>
  <si>
    <t>Anthony Albanese</t>
  </si>
  <si>
    <t>Manmohan Singh</t>
  </si>
  <si>
    <t>Abraham Lincoln</t>
  </si>
  <si>
    <t>Nelson Mandela</t>
  </si>
  <si>
    <t>Angela Merkel</t>
  </si>
  <si>
    <t>Sushma Swaraj</t>
  </si>
  <si>
    <t>Benazir Bhutto</t>
  </si>
  <si>
    <t>Naveen Patanaik</t>
  </si>
  <si>
    <t>Sardar Vallabhai Patel</t>
  </si>
  <si>
    <t>S Jaishankar</t>
  </si>
  <si>
    <t>Manohar Lal Khattar</t>
  </si>
  <si>
    <t>Lula Da Silva</t>
  </si>
  <si>
    <t>Atal Bihari Vajpayee</t>
  </si>
  <si>
    <t>Olaf Scholz</t>
  </si>
  <si>
    <t>Shashi Tharoor</t>
  </si>
  <si>
    <t>Rishi Sunak</t>
  </si>
  <si>
    <t>Jayaprakash Narayan</t>
  </si>
  <si>
    <t>Neville Chamberlain</t>
  </si>
  <si>
    <t>Theodore Roosevelt</t>
  </si>
  <si>
    <t>PV Narsimha Rao</t>
  </si>
  <si>
    <t>Mahatma Gandhi</t>
  </si>
  <si>
    <t>Nitin Gadkari</t>
  </si>
  <si>
    <t>Ashwini Vaishnaw</t>
  </si>
  <si>
    <t>Tulsi Gabbard</t>
  </si>
  <si>
    <t>Tsai Ing-wen</t>
  </si>
  <si>
    <t>Kamala Harris</t>
  </si>
  <si>
    <t>Sonia Gandhi</t>
  </si>
  <si>
    <t>Jayalalitha</t>
  </si>
  <si>
    <t>NT Rama Rao</t>
  </si>
  <si>
    <t>Kapil Sibal</t>
  </si>
  <si>
    <t>Ashok Gehlot</t>
  </si>
  <si>
    <t>YS Jagan Mohan Reddy</t>
  </si>
  <si>
    <t>Dwight D. Eisenhower</t>
  </si>
  <si>
    <t>Pierre Poilievre</t>
  </si>
  <si>
    <t>N. Chandrababu Naidu</t>
  </si>
  <si>
    <t>H.D. Deve Gowda</t>
  </si>
  <si>
    <t>Sharad Pawar</t>
  </si>
  <si>
    <t>Mustafa Kemal Ataturk</t>
  </si>
  <si>
    <t>Jairam Ramesh</t>
  </si>
  <si>
    <t>Ramdas Athawale</t>
  </si>
  <si>
    <t>Mahmoud Abbas Abu Maze</t>
  </si>
  <si>
    <t>HD Kumarswamy</t>
  </si>
  <si>
    <t>G. Kishan Reddy</t>
  </si>
  <si>
    <t>Joseph Broz Tito</t>
  </si>
  <si>
    <t>Vilasrao Deshmukh</t>
  </si>
  <si>
    <t>Rahul Gandhi</t>
  </si>
  <si>
    <t>Arun Jaitley</t>
  </si>
  <si>
    <t>P Chidambram</t>
  </si>
  <si>
    <t>Keir Starmer</t>
  </si>
  <si>
    <t>Fredrich Engels</t>
  </si>
  <si>
    <t>Nitish Kumar</t>
  </si>
  <si>
    <t>Uddhav Thackeray</t>
  </si>
  <si>
    <t>Hemanta Biswa Sarma</t>
  </si>
  <si>
    <t>Rajiv Gandhi</t>
  </si>
  <si>
    <t>George Washington</t>
  </si>
  <si>
    <t>Karunanidhi</t>
  </si>
  <si>
    <t>K Annamalai</t>
  </si>
  <si>
    <t>Nirmala Sitharaman</t>
  </si>
  <si>
    <t>Liz Truss</t>
  </si>
  <si>
    <t>Claudia Sheinbaum</t>
  </si>
  <si>
    <t>Mayawati</t>
  </si>
  <si>
    <t>Madhavrao Scindia</t>
  </si>
  <si>
    <t>Amit Shah</t>
  </si>
  <si>
    <t>Fumio Kishida</t>
  </si>
  <si>
    <t>VP Singh</t>
  </si>
  <si>
    <t>Lalu Prasad Yadav</t>
  </si>
  <si>
    <t>Deng Xiaoping</t>
  </si>
  <si>
    <t>Yasser Arafat</t>
  </si>
  <si>
    <t>Arvind Kejriwal</t>
  </si>
  <si>
    <t>K Chandrashekar Rao</t>
  </si>
  <si>
    <t>Barack Obama</t>
  </si>
  <si>
    <t>Shinzo Abe</t>
  </si>
  <si>
    <t>Jawaharlal Nehru</t>
  </si>
  <si>
    <t>Tejaswi Surya</t>
  </si>
  <si>
    <t>Bill Clinton</t>
  </si>
  <si>
    <t>Joe Biden</t>
  </si>
  <si>
    <t>Anurag Singh Thakur</t>
  </si>
  <si>
    <t>Bhagwant Mann</t>
  </si>
  <si>
    <t>Park Chung-hee</t>
  </si>
  <si>
    <t>Mallikarjun Khadage</t>
  </si>
  <si>
    <t>Shivraj Singh Chauhan</t>
  </si>
  <si>
    <t>MK Stalin</t>
  </si>
  <si>
    <t>B. S. Yediyurappa</t>
  </si>
  <si>
    <t>Eknath Shinde</t>
  </si>
  <si>
    <t>John F. Kennedy</t>
  </si>
  <si>
    <t>Jyotiraditya Scindia</t>
  </si>
  <si>
    <t>Boris Johnson</t>
  </si>
  <si>
    <t>Karl Marx</t>
  </si>
  <si>
    <t>Mamata Bannerjee</t>
  </si>
  <si>
    <t>Mehbooba Mufti</t>
  </si>
  <si>
    <t>Giorgia Meloni</t>
  </si>
  <si>
    <t>Theresa May</t>
  </si>
  <si>
    <t>Margaret Thatcher</t>
  </si>
  <si>
    <t>Aung San Suu Kyi</t>
  </si>
  <si>
    <t>Marine Le Pen</t>
  </si>
  <si>
    <t>Nikita Khruschev</t>
  </si>
  <si>
    <t>Asaduddin Owaisi</t>
  </si>
  <si>
    <t>Mohan Bhagwat</t>
  </si>
  <si>
    <t>Otto von Bismarck</t>
  </si>
  <si>
    <t>Narenda Modi</t>
  </si>
  <si>
    <t>Xi Jinping</t>
  </si>
  <si>
    <t>Yogi Adityanath</t>
  </si>
  <si>
    <t>Mohamed Muizzu</t>
  </si>
  <si>
    <t>Pinarayi Vijayan</t>
  </si>
  <si>
    <t>Donald Trump</t>
  </si>
  <si>
    <t>Richard Nixon</t>
  </si>
  <si>
    <t>Jair Bolsonaro</t>
  </si>
  <si>
    <t>Ayatollah Khomeini</t>
  </si>
  <si>
    <t>Justin Trudeau</t>
  </si>
  <si>
    <t>Imran Khan</t>
  </si>
  <si>
    <t>Shehbaz Sharif</t>
  </si>
  <si>
    <t>Min Aung Hlaing</t>
  </si>
  <si>
    <t>Jyoti Basu</t>
  </si>
  <si>
    <t>N Biren Singh</t>
  </si>
  <si>
    <t>Emmanuel Macron</t>
  </si>
  <si>
    <t>Subhash Chandra Bose</t>
  </si>
  <si>
    <t>Farooq Abdullah</t>
  </si>
  <si>
    <t>Sitaram Yechuri</t>
  </si>
  <si>
    <t>Prof. Mohd Yunus</t>
  </si>
  <si>
    <t>Ronald Reagan</t>
  </si>
  <si>
    <t>Franklin Delano Roosevelt</t>
  </si>
  <si>
    <t>Recep Tayyip Erdoğan</t>
  </si>
  <si>
    <t>Mohammad Bin Salman</t>
  </si>
  <si>
    <t>L K Advani</t>
  </si>
  <si>
    <t>Indira Gandhi</t>
  </si>
  <si>
    <t>Hirohito</t>
  </si>
  <si>
    <t>Volodymyr Zelensky</t>
  </si>
  <si>
    <t>Ho Chi Minh</t>
  </si>
  <si>
    <t>Mohammad Ali Jinnah</t>
  </si>
  <si>
    <t>Vladimir Putin</t>
  </si>
  <si>
    <t>Francisco Franco</t>
  </si>
  <si>
    <t>Pervez Musharraf</t>
  </si>
  <si>
    <t>Leonid Brezhnev</t>
  </si>
  <si>
    <t>Che Guevera</t>
  </si>
  <si>
    <t>George Bush</t>
  </si>
  <si>
    <t>Benjamin Netanyahu</t>
  </si>
  <si>
    <t>Yahya Khan</t>
  </si>
  <si>
    <t>Abdel Nasser</t>
  </si>
  <si>
    <t>Zia ul Haq</t>
  </si>
  <si>
    <t>Winston Churchill</t>
  </si>
  <si>
    <t>Mikhail Gorbachev</t>
  </si>
  <si>
    <t>Suharto</t>
  </si>
  <si>
    <t>Nicolas Maduro</t>
  </si>
  <si>
    <t>Bashar al-Assad</t>
  </si>
  <si>
    <t>Muammar Gaddafi</t>
  </si>
  <si>
    <t>Benito Mussolini</t>
  </si>
  <si>
    <t>Vladimir Lenin</t>
  </si>
  <si>
    <t>Fidel Castro</t>
  </si>
  <si>
    <t>Chiang Kai-shek</t>
  </si>
  <si>
    <t>Hideki Tojo</t>
  </si>
  <si>
    <t>Saddam Hussein</t>
  </si>
  <si>
    <t>Mao Zedong</t>
  </si>
  <si>
    <t>Joseph Stalin</t>
  </si>
  <si>
    <t>Kim Jong Un</t>
  </si>
  <si>
    <t>Adolf Hitler</t>
  </si>
  <si>
    <t>Team</t>
  </si>
  <si>
    <t>Price</t>
  </si>
  <si>
    <t>estimated price</t>
  </si>
  <si>
    <t>SOLD</t>
  </si>
  <si>
    <t>NETAN</t>
  </si>
  <si>
    <t>UNSOLD</t>
  </si>
  <si>
    <t>c</t>
  </si>
  <si>
    <t>?</t>
  </si>
  <si>
    <t>unsold</t>
  </si>
  <si>
    <t>sold</t>
  </si>
  <si>
    <t>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</si>
</sst>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sz val="10.0"/>
      <color rgb="FF202122"/>
      <name val="Arial"/>
    </font>
    <font>
      <sz val="10.0"/>
      <color rgb="FF1F1F1F"/>
      <name val="Arial"/>
    </font>
    <font>
      <color theme="1"/>
      <name val="Arial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B7B7B7"/>
        <bgColor rgb="FFB7B7B7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top"/>
    </xf>
    <xf borderId="2" fillId="2" fontId="1" numFmtId="0" xfId="0" applyAlignment="1" applyBorder="1" applyFont="1">
      <alignment vertical="top"/>
    </xf>
    <xf borderId="1" fillId="2" fontId="2" numFmtId="0" xfId="0" applyAlignment="1" applyBorder="1" applyFont="1">
      <alignment horizontal="right" vertical="top"/>
    </xf>
    <xf borderId="1" fillId="3" fontId="2" numFmtId="0" xfId="0" applyAlignment="1" applyBorder="1" applyFill="1" applyFont="1">
      <alignment vertical="top"/>
    </xf>
    <xf borderId="1" fillId="3" fontId="2" numFmtId="0" xfId="0" applyAlignment="1" applyBorder="1" applyFont="1">
      <alignment horizontal="right" vertical="top"/>
    </xf>
    <xf borderId="2" fillId="3" fontId="2" numFmtId="0" xfId="0" applyAlignment="1" applyBorder="1" applyFont="1">
      <alignment horizontal="right" vertical="top"/>
    </xf>
    <xf borderId="1" fillId="4" fontId="2" numFmtId="0" xfId="0" applyAlignment="1" applyBorder="1" applyFill="1" applyFont="1">
      <alignment horizontal="right" vertical="top"/>
    </xf>
    <xf borderId="1" fillId="4" fontId="2" numFmtId="0" xfId="0" applyAlignment="1" applyBorder="1" applyFont="1">
      <alignment vertical="top"/>
    </xf>
    <xf borderId="2" fillId="4" fontId="2" numFmtId="0" xfId="0" applyAlignment="1" applyBorder="1" applyFont="1">
      <alignment horizontal="right" vertical="top"/>
    </xf>
    <xf borderId="1" fillId="2" fontId="2" numFmtId="0" xfId="0" applyAlignment="1" applyBorder="1" applyFont="1">
      <alignment vertical="top"/>
    </xf>
    <xf borderId="2" fillId="2" fontId="2" numFmtId="0" xfId="0" applyAlignment="1" applyBorder="1" applyFont="1">
      <alignment horizontal="right" vertical="top"/>
    </xf>
    <xf borderId="1" fillId="5" fontId="2" numFmtId="0" xfId="0" applyAlignment="1" applyBorder="1" applyFill="1" applyFont="1">
      <alignment vertical="top"/>
    </xf>
    <xf borderId="1" fillId="5" fontId="2" numFmtId="0" xfId="0" applyAlignment="1" applyBorder="1" applyFont="1">
      <alignment horizontal="right" vertical="top"/>
    </xf>
    <xf borderId="2" fillId="5" fontId="2" numFmtId="0" xfId="0" applyAlignment="1" applyBorder="1" applyFont="1">
      <alignment horizontal="right" vertical="top"/>
    </xf>
    <xf borderId="1" fillId="0" fontId="2" numFmtId="0" xfId="0" applyBorder="1" applyFont="1"/>
    <xf borderId="1" fillId="2" fontId="3" numFmtId="0" xfId="0" applyBorder="1" applyFont="1"/>
    <xf borderId="1" fillId="5" fontId="4" numFmtId="0" xfId="0" applyAlignment="1" applyBorder="1" applyFont="1">
      <alignment horizontal="left" shrinkToFit="0" wrapText="0"/>
    </xf>
    <xf borderId="1" fillId="5" fontId="2" numFmtId="0" xfId="0" applyBorder="1" applyFont="1"/>
    <xf borderId="1" fillId="6" fontId="2" numFmtId="0" xfId="0" applyAlignment="1" applyBorder="1" applyFill="1" applyFont="1">
      <alignment horizontal="right" vertical="top"/>
    </xf>
    <xf borderId="1" fillId="6" fontId="2" numFmtId="0" xfId="0" applyAlignment="1" applyBorder="1" applyFont="1">
      <alignment vertical="top"/>
    </xf>
    <xf borderId="2" fillId="6" fontId="2" numFmtId="0" xfId="0" applyAlignment="1" applyBorder="1" applyFont="1">
      <alignment horizontal="right" vertical="top"/>
    </xf>
    <xf borderId="0" fillId="6" fontId="5" numFmtId="0" xfId="0" applyFont="1"/>
    <xf borderId="0" fillId="2" fontId="4" numFmtId="0" xfId="0" applyAlignment="1" applyFont="1">
      <alignment horizontal="left" shrinkToFit="0" wrapText="0"/>
    </xf>
    <xf borderId="0" fillId="2" fontId="3" numFmtId="0" xfId="0" applyFont="1"/>
    <xf borderId="0" fillId="5" fontId="5" numFmtId="0" xfId="0" applyFont="1"/>
    <xf borderId="1" fillId="7" fontId="2" numFmtId="0" xfId="0" applyAlignment="1" applyBorder="1" applyFill="1" applyFont="1">
      <alignment horizontal="right" vertical="top"/>
    </xf>
    <xf borderId="1" fillId="7" fontId="2" numFmtId="0" xfId="0" applyAlignment="1" applyBorder="1" applyFont="1">
      <alignment vertical="top"/>
    </xf>
    <xf borderId="2" fillId="7" fontId="2" numFmtId="0" xfId="0" applyAlignment="1" applyBorder="1" applyFont="1">
      <alignment horizontal="right" vertical="top"/>
    </xf>
    <xf borderId="0" fillId="7" fontId="5" numFmtId="0" xfId="0" applyFont="1"/>
    <xf borderId="0" fillId="4" fontId="5" numFmtId="0" xfId="0" applyFont="1"/>
    <xf borderId="1" fillId="4" fontId="4" numFmtId="0" xfId="0" applyAlignment="1" applyBorder="1" applyFont="1">
      <alignment horizontal="left" shrinkToFit="0" wrapText="0"/>
    </xf>
    <xf borderId="1" fillId="4" fontId="2" numFmtId="0" xfId="0" applyBorder="1" applyFont="1"/>
    <xf borderId="0" fillId="0" fontId="5" numFmtId="0" xfId="0" applyAlignment="1" applyFont="1">
      <alignment readingOrder="0"/>
    </xf>
    <xf borderId="0" fillId="0" fontId="5" numFmtId="0" xfId="0" applyFont="1"/>
    <xf borderId="0" fillId="5" fontId="5" numFmtId="0" xfId="0" applyAlignment="1" applyFont="1">
      <alignment readingOrder="0"/>
    </xf>
    <xf borderId="1" fillId="6" fontId="3" numFmtId="0" xfId="0" applyBorder="1" applyFont="1"/>
    <xf borderId="1" fillId="6" fontId="4" numFmtId="0" xfId="0" applyAlignment="1" applyBorder="1" applyFont="1">
      <alignment horizontal="left" shrinkToFit="0" wrapText="0"/>
    </xf>
    <xf borderId="1" fillId="5" fontId="1" numFmtId="0" xfId="0" applyAlignment="1" applyBorder="1" applyFont="1">
      <alignment vertical="top"/>
    </xf>
    <xf borderId="2" fillId="6" fontId="1" numFmtId="0" xfId="0" applyAlignment="1" applyBorder="1" applyFont="1">
      <alignment vertical="top"/>
    </xf>
    <xf borderId="1" fillId="2" fontId="4" numFmtId="0" xfId="0" applyAlignment="1" applyBorder="1" applyFont="1">
      <alignment horizontal="left" shrinkToFit="0" wrapText="0"/>
    </xf>
    <xf borderId="1" fillId="4" fontId="1" numFmtId="0" xfId="0" applyAlignment="1" applyBorder="1" applyFont="1">
      <alignment vertical="top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ht="15.75" customHeight="1">
      <c r="A2" s="3">
        <v>37.0</v>
      </c>
      <c r="B2" s="4" t="s">
        <v>10</v>
      </c>
      <c r="C2" s="4" t="s">
        <v>11</v>
      </c>
      <c r="D2" s="4" t="s">
        <v>11</v>
      </c>
      <c r="E2" s="5">
        <v>8.0</v>
      </c>
      <c r="F2" s="5">
        <v>8.0</v>
      </c>
      <c r="G2" s="5">
        <v>1.0</v>
      </c>
      <c r="H2" s="5">
        <v>-1.0</v>
      </c>
      <c r="I2" s="6">
        <f t="shared" ref="I2:I161" si="1">sum(E2,F2)</f>
        <v>16</v>
      </c>
      <c r="J2" s="5">
        <v>100.0</v>
      </c>
    </row>
    <row r="3" ht="15.75" customHeight="1">
      <c r="A3" s="7">
        <v>1.0</v>
      </c>
      <c r="B3" s="8" t="s">
        <v>12</v>
      </c>
      <c r="C3" s="8" t="s">
        <v>13</v>
      </c>
      <c r="D3" s="8" t="s">
        <v>14</v>
      </c>
      <c r="E3" s="7">
        <v>8.0</v>
      </c>
      <c r="F3" s="7">
        <v>8.0</v>
      </c>
      <c r="G3" s="7">
        <v>1.0</v>
      </c>
      <c r="H3" s="7">
        <v>-1.0</v>
      </c>
      <c r="I3" s="9">
        <f t="shared" si="1"/>
        <v>16</v>
      </c>
      <c r="J3" s="7">
        <v>100.0</v>
      </c>
    </row>
    <row r="4" ht="15.75" customHeight="1">
      <c r="A4" s="3">
        <v>2.0</v>
      </c>
      <c r="B4" s="10" t="s">
        <v>15</v>
      </c>
      <c r="C4" s="10" t="s">
        <v>11</v>
      </c>
      <c r="D4" s="10" t="s">
        <v>14</v>
      </c>
      <c r="E4" s="3">
        <v>9.0</v>
      </c>
      <c r="F4" s="3">
        <v>9.0</v>
      </c>
      <c r="G4" s="3">
        <v>1.0</v>
      </c>
      <c r="H4" s="3">
        <v>-1.0</v>
      </c>
      <c r="I4" s="11">
        <f t="shared" si="1"/>
        <v>18</v>
      </c>
      <c r="J4" s="3">
        <v>120.0</v>
      </c>
    </row>
    <row r="5" ht="15.75" customHeight="1">
      <c r="A5" s="3">
        <v>4.0</v>
      </c>
      <c r="B5" s="10" t="s">
        <v>16</v>
      </c>
      <c r="C5" s="10" t="s">
        <v>13</v>
      </c>
      <c r="D5" s="10" t="s">
        <v>14</v>
      </c>
      <c r="E5" s="3">
        <v>8.0</v>
      </c>
      <c r="F5" s="3">
        <v>6.0</v>
      </c>
      <c r="G5" s="3">
        <v>1.0</v>
      </c>
      <c r="H5" s="3">
        <v>-1.0</v>
      </c>
      <c r="I5" s="11">
        <f t="shared" si="1"/>
        <v>14</v>
      </c>
      <c r="J5" s="3">
        <v>80.0</v>
      </c>
    </row>
    <row r="6" ht="15.75" customHeight="1">
      <c r="A6" s="3">
        <v>19.0</v>
      </c>
      <c r="B6" s="10" t="s">
        <v>17</v>
      </c>
      <c r="C6" s="10" t="s">
        <v>13</v>
      </c>
      <c r="D6" s="10" t="s">
        <v>14</v>
      </c>
      <c r="E6" s="3">
        <v>5.0</v>
      </c>
      <c r="F6" s="3">
        <v>5.0</v>
      </c>
      <c r="G6" s="3">
        <v>1.0</v>
      </c>
      <c r="H6" s="3">
        <v>1.0</v>
      </c>
      <c r="I6" s="11">
        <f t="shared" si="1"/>
        <v>10</v>
      </c>
      <c r="J6" s="3">
        <v>60.0</v>
      </c>
    </row>
    <row r="7" ht="15.75" customHeight="1">
      <c r="A7" s="3">
        <v>81.0</v>
      </c>
      <c r="B7" s="10" t="s">
        <v>18</v>
      </c>
      <c r="C7" s="10" t="s">
        <v>11</v>
      </c>
      <c r="D7" s="10" t="s">
        <v>14</v>
      </c>
      <c r="E7" s="3">
        <v>6.0</v>
      </c>
      <c r="F7" s="3">
        <v>6.0</v>
      </c>
      <c r="G7" s="3">
        <v>1.0</v>
      </c>
      <c r="H7" s="3">
        <v>-1.0</v>
      </c>
      <c r="I7" s="11">
        <f t="shared" si="1"/>
        <v>12</v>
      </c>
      <c r="J7" s="3">
        <v>60.0</v>
      </c>
    </row>
    <row r="8" ht="15.75" customHeight="1">
      <c r="A8" s="3">
        <v>93.0</v>
      </c>
      <c r="B8" s="10" t="s">
        <v>19</v>
      </c>
      <c r="C8" s="10" t="s">
        <v>13</v>
      </c>
      <c r="D8" s="10" t="s">
        <v>14</v>
      </c>
      <c r="E8" s="3">
        <v>6.0</v>
      </c>
      <c r="F8" s="3">
        <v>5.0</v>
      </c>
      <c r="G8" s="3">
        <v>1.0</v>
      </c>
      <c r="H8" s="3">
        <v>-1.0</v>
      </c>
      <c r="I8" s="11">
        <f t="shared" si="1"/>
        <v>11</v>
      </c>
      <c r="J8" s="3">
        <v>60.0</v>
      </c>
    </row>
    <row r="9" ht="15.75" customHeight="1">
      <c r="A9" s="3">
        <v>141.0</v>
      </c>
      <c r="B9" s="10" t="s">
        <v>20</v>
      </c>
      <c r="C9" s="10" t="s">
        <v>11</v>
      </c>
      <c r="D9" s="10" t="s">
        <v>14</v>
      </c>
      <c r="E9" s="3">
        <v>10.0</v>
      </c>
      <c r="F9" s="3">
        <v>9.0</v>
      </c>
      <c r="G9" s="3">
        <v>1.0</v>
      </c>
      <c r="H9" s="3">
        <v>1.0</v>
      </c>
      <c r="I9" s="11">
        <f t="shared" si="1"/>
        <v>19</v>
      </c>
      <c r="J9" s="3">
        <v>120.0</v>
      </c>
    </row>
    <row r="10" ht="15.75" customHeight="1">
      <c r="A10" s="3">
        <v>153.0</v>
      </c>
      <c r="B10" s="10" t="s">
        <v>21</v>
      </c>
      <c r="C10" s="10" t="s">
        <v>11</v>
      </c>
      <c r="D10" s="10" t="s">
        <v>14</v>
      </c>
      <c r="E10" s="3">
        <v>10.0</v>
      </c>
      <c r="F10" s="3">
        <v>7.0</v>
      </c>
      <c r="G10" s="3">
        <v>1.0</v>
      </c>
      <c r="H10" s="3">
        <v>-1.0</v>
      </c>
      <c r="I10" s="11">
        <f t="shared" si="1"/>
        <v>17</v>
      </c>
      <c r="J10" s="3">
        <v>100.0</v>
      </c>
    </row>
    <row r="11" ht="15.75" customHeight="1">
      <c r="A11" s="3">
        <v>23.0</v>
      </c>
      <c r="B11" s="10" t="s">
        <v>22</v>
      </c>
      <c r="C11" s="10" t="s">
        <v>11</v>
      </c>
      <c r="D11" s="10" t="s">
        <v>11</v>
      </c>
      <c r="E11" s="3">
        <v>5.0</v>
      </c>
      <c r="F11" s="3">
        <v>5.0</v>
      </c>
      <c r="G11" s="3">
        <v>2.0</v>
      </c>
      <c r="H11" s="3">
        <v>-1.0</v>
      </c>
      <c r="I11" s="11">
        <f t="shared" si="1"/>
        <v>10</v>
      </c>
      <c r="J11" s="3">
        <v>60.0</v>
      </c>
    </row>
    <row r="12" ht="15.75" customHeight="1">
      <c r="A12" s="3">
        <v>77.0</v>
      </c>
      <c r="B12" s="10" t="s">
        <v>23</v>
      </c>
      <c r="C12" s="10" t="s">
        <v>13</v>
      </c>
      <c r="D12" s="10" t="s">
        <v>11</v>
      </c>
      <c r="E12" s="3">
        <v>5.0</v>
      </c>
      <c r="F12" s="3">
        <v>5.0</v>
      </c>
      <c r="G12" s="3">
        <v>2.0</v>
      </c>
      <c r="H12" s="3">
        <v>1.0</v>
      </c>
      <c r="I12" s="11">
        <f t="shared" si="1"/>
        <v>10</v>
      </c>
      <c r="J12" s="3">
        <v>60.0</v>
      </c>
    </row>
    <row r="13" ht="15.75" customHeight="1">
      <c r="A13" s="3">
        <v>134.0</v>
      </c>
      <c r="B13" s="10" t="s">
        <v>24</v>
      </c>
      <c r="C13" s="10" t="s">
        <v>11</v>
      </c>
      <c r="D13" s="10" t="s">
        <v>11</v>
      </c>
      <c r="E13" s="3">
        <v>4.0</v>
      </c>
      <c r="F13" s="3">
        <v>5.0</v>
      </c>
      <c r="G13" s="3">
        <v>2.0</v>
      </c>
      <c r="H13" s="3">
        <v>-1.0</v>
      </c>
      <c r="I13" s="11">
        <f t="shared" si="1"/>
        <v>9</v>
      </c>
      <c r="J13" s="3">
        <v>50.0</v>
      </c>
    </row>
    <row r="14" ht="15.75" customHeight="1">
      <c r="A14" s="3">
        <v>9.0</v>
      </c>
      <c r="B14" s="10" t="s">
        <v>25</v>
      </c>
      <c r="C14" s="10" t="s">
        <v>13</v>
      </c>
      <c r="D14" s="10" t="s">
        <v>14</v>
      </c>
      <c r="E14" s="3">
        <v>4.0</v>
      </c>
      <c r="F14" s="3">
        <v>5.0</v>
      </c>
      <c r="G14" s="3">
        <v>2.0</v>
      </c>
      <c r="H14" s="3">
        <v>-1.0</v>
      </c>
      <c r="I14" s="11">
        <f t="shared" si="1"/>
        <v>9</v>
      </c>
      <c r="J14" s="3">
        <v>50.0</v>
      </c>
    </row>
    <row r="15" ht="15.75" customHeight="1">
      <c r="A15" s="3">
        <v>12.0</v>
      </c>
      <c r="B15" s="10" t="s">
        <v>26</v>
      </c>
      <c r="C15" s="10" t="s">
        <v>13</v>
      </c>
      <c r="D15" s="10" t="s">
        <v>14</v>
      </c>
      <c r="E15" s="3">
        <v>8.0</v>
      </c>
      <c r="F15" s="3">
        <v>8.0</v>
      </c>
      <c r="G15" s="3">
        <v>2.0</v>
      </c>
      <c r="H15" s="3">
        <v>1.0</v>
      </c>
      <c r="I15" s="11">
        <f t="shared" si="1"/>
        <v>16</v>
      </c>
      <c r="J15" s="3">
        <v>100.0</v>
      </c>
    </row>
    <row r="16" ht="15.75" customHeight="1">
      <c r="A16" s="3">
        <v>24.0</v>
      </c>
      <c r="B16" s="10" t="s">
        <v>27</v>
      </c>
      <c r="C16" s="10" t="s">
        <v>13</v>
      </c>
      <c r="D16" s="10" t="s">
        <v>14</v>
      </c>
      <c r="E16" s="3">
        <v>6.0</v>
      </c>
      <c r="F16" s="3">
        <v>6.0</v>
      </c>
      <c r="G16" s="3">
        <v>2.0</v>
      </c>
      <c r="H16" s="3">
        <v>1.0</v>
      </c>
      <c r="I16" s="11">
        <f t="shared" si="1"/>
        <v>12</v>
      </c>
      <c r="J16" s="3">
        <v>80.0</v>
      </c>
    </row>
    <row r="17" ht="15.75" customHeight="1">
      <c r="A17" s="3">
        <v>25.0</v>
      </c>
      <c r="B17" s="10" t="s">
        <v>28</v>
      </c>
      <c r="C17" s="10" t="s">
        <v>13</v>
      </c>
      <c r="D17" s="10" t="s">
        <v>14</v>
      </c>
      <c r="E17" s="3">
        <v>5.0</v>
      </c>
      <c r="F17" s="3">
        <v>5.0</v>
      </c>
      <c r="G17" s="3">
        <v>2.0</v>
      </c>
      <c r="H17" s="3">
        <v>1.0</v>
      </c>
      <c r="I17" s="11">
        <f t="shared" si="1"/>
        <v>10</v>
      </c>
      <c r="J17" s="3">
        <v>60.0</v>
      </c>
    </row>
    <row r="18" ht="15.75" customHeight="1">
      <c r="A18" s="3">
        <v>46.0</v>
      </c>
      <c r="B18" s="10" t="s">
        <v>29</v>
      </c>
      <c r="C18" s="10" t="s">
        <v>11</v>
      </c>
      <c r="D18" s="10" t="s">
        <v>14</v>
      </c>
      <c r="E18" s="3">
        <v>6.0</v>
      </c>
      <c r="F18" s="3">
        <v>7.0</v>
      </c>
      <c r="G18" s="3">
        <v>2.0</v>
      </c>
      <c r="H18" s="3">
        <v>-1.0</v>
      </c>
      <c r="I18" s="11">
        <f t="shared" si="1"/>
        <v>13</v>
      </c>
      <c r="J18" s="3">
        <v>60.0</v>
      </c>
    </row>
    <row r="19" ht="15.75" customHeight="1">
      <c r="A19" s="3">
        <v>51.0</v>
      </c>
      <c r="B19" s="10" t="s">
        <v>30</v>
      </c>
      <c r="C19" s="10" t="s">
        <v>13</v>
      </c>
      <c r="D19" s="10" t="s">
        <v>14</v>
      </c>
      <c r="E19" s="3">
        <v>8.0</v>
      </c>
      <c r="F19" s="3">
        <v>8.0</v>
      </c>
      <c r="G19" s="3">
        <v>2.0</v>
      </c>
      <c r="H19" s="3">
        <v>1.0</v>
      </c>
      <c r="I19" s="11">
        <f t="shared" si="1"/>
        <v>16</v>
      </c>
      <c r="J19" s="3">
        <v>100.0</v>
      </c>
    </row>
    <row r="20" ht="15.75" customHeight="1">
      <c r="A20" s="3">
        <v>61.0</v>
      </c>
      <c r="B20" s="10" t="s">
        <v>31</v>
      </c>
      <c r="C20" s="10" t="s">
        <v>11</v>
      </c>
      <c r="D20" s="10" t="s">
        <v>14</v>
      </c>
      <c r="E20" s="3">
        <v>6.0</v>
      </c>
      <c r="F20" s="3">
        <v>6.0</v>
      </c>
      <c r="G20" s="3">
        <v>2.0</v>
      </c>
      <c r="H20" s="3">
        <v>1.0</v>
      </c>
      <c r="I20" s="11">
        <f t="shared" si="1"/>
        <v>12</v>
      </c>
      <c r="J20" s="3">
        <v>60.0</v>
      </c>
    </row>
    <row r="21" ht="15.75" customHeight="1">
      <c r="A21" s="3">
        <v>62.0</v>
      </c>
      <c r="B21" s="10" t="s">
        <v>32</v>
      </c>
      <c r="C21" s="10" t="s">
        <v>13</v>
      </c>
      <c r="D21" s="10" t="s">
        <v>14</v>
      </c>
      <c r="E21" s="3">
        <v>8.0</v>
      </c>
      <c r="F21" s="3">
        <v>7.0</v>
      </c>
      <c r="G21" s="3">
        <v>2.0</v>
      </c>
      <c r="H21" s="3">
        <v>-1.0</v>
      </c>
      <c r="I21" s="11">
        <f t="shared" si="1"/>
        <v>15</v>
      </c>
      <c r="J21" s="3">
        <v>80.0</v>
      </c>
    </row>
    <row r="22" ht="15.75" customHeight="1">
      <c r="A22" s="3">
        <v>63.0</v>
      </c>
      <c r="B22" s="10" t="s">
        <v>33</v>
      </c>
      <c r="C22" s="10" t="s">
        <v>11</v>
      </c>
      <c r="D22" s="10" t="s">
        <v>14</v>
      </c>
      <c r="E22" s="3">
        <v>6.0</v>
      </c>
      <c r="F22" s="3">
        <v>6.0</v>
      </c>
      <c r="G22" s="3">
        <v>2.0</v>
      </c>
      <c r="H22" s="3">
        <v>1.0</v>
      </c>
      <c r="I22" s="11">
        <f t="shared" si="1"/>
        <v>12</v>
      </c>
      <c r="J22" s="3">
        <v>80.0</v>
      </c>
    </row>
    <row r="23" ht="15.75" customHeight="1">
      <c r="A23" s="3">
        <v>64.0</v>
      </c>
      <c r="B23" s="10" t="s">
        <v>34</v>
      </c>
      <c r="C23" s="12" t="s">
        <v>13</v>
      </c>
      <c r="D23" s="12" t="s">
        <v>14</v>
      </c>
      <c r="E23" s="13">
        <v>8.0</v>
      </c>
      <c r="F23" s="13">
        <v>7.0</v>
      </c>
      <c r="G23" s="13">
        <v>2.0</v>
      </c>
      <c r="H23" s="13">
        <v>1.0</v>
      </c>
      <c r="I23" s="14">
        <f t="shared" si="1"/>
        <v>15</v>
      </c>
      <c r="J23" s="13">
        <v>80.0</v>
      </c>
    </row>
    <row r="24" ht="15.75" customHeight="1">
      <c r="A24" s="3">
        <v>73.0</v>
      </c>
      <c r="B24" s="10" t="s">
        <v>35</v>
      </c>
      <c r="C24" s="10" t="s">
        <v>11</v>
      </c>
      <c r="D24" s="10" t="s">
        <v>14</v>
      </c>
      <c r="E24" s="3">
        <v>4.0</v>
      </c>
      <c r="F24" s="3">
        <v>4.0</v>
      </c>
      <c r="G24" s="3">
        <v>2.0</v>
      </c>
      <c r="H24" s="3">
        <v>1.0</v>
      </c>
      <c r="I24" s="11">
        <f t="shared" si="1"/>
        <v>8</v>
      </c>
      <c r="J24" s="3">
        <v>40.0</v>
      </c>
    </row>
    <row r="25" ht="15.75" customHeight="1">
      <c r="A25" s="3">
        <v>83.0</v>
      </c>
      <c r="B25" s="8" t="s">
        <v>36</v>
      </c>
      <c r="C25" s="8" t="s">
        <v>11</v>
      </c>
      <c r="D25" s="8" t="s">
        <v>14</v>
      </c>
      <c r="E25" s="7">
        <v>7.0</v>
      </c>
      <c r="F25" s="7">
        <v>8.0</v>
      </c>
      <c r="G25" s="7">
        <v>2.0</v>
      </c>
      <c r="H25" s="7">
        <v>1.0</v>
      </c>
      <c r="I25" s="9">
        <f t="shared" si="1"/>
        <v>15</v>
      </c>
      <c r="J25" s="7">
        <v>80.0</v>
      </c>
    </row>
    <row r="26" ht="15.75" customHeight="1">
      <c r="A26" s="3">
        <v>89.0</v>
      </c>
      <c r="B26" s="10" t="s">
        <v>37</v>
      </c>
      <c r="C26" s="10" t="s">
        <v>13</v>
      </c>
      <c r="D26" s="10" t="s">
        <v>14</v>
      </c>
      <c r="E26" s="3">
        <v>5.0</v>
      </c>
      <c r="F26" s="3">
        <v>5.0</v>
      </c>
      <c r="G26" s="3">
        <v>2.0</v>
      </c>
      <c r="H26" s="3">
        <v>1.0</v>
      </c>
      <c r="I26" s="11">
        <f t="shared" si="1"/>
        <v>10</v>
      </c>
      <c r="J26" s="3">
        <v>60.0</v>
      </c>
    </row>
    <row r="27" ht="15.75" customHeight="1">
      <c r="A27" s="3">
        <v>119.0</v>
      </c>
      <c r="B27" s="10" t="s">
        <v>38</v>
      </c>
      <c r="C27" s="10" t="s">
        <v>13</v>
      </c>
      <c r="D27" s="10" t="s">
        <v>14</v>
      </c>
      <c r="E27" s="3">
        <v>10.0</v>
      </c>
      <c r="F27" s="3">
        <v>10.0</v>
      </c>
      <c r="G27" s="3">
        <v>2.0</v>
      </c>
      <c r="H27" s="3">
        <v>-1.0</v>
      </c>
      <c r="I27" s="11">
        <f t="shared" si="1"/>
        <v>20</v>
      </c>
      <c r="J27" s="3">
        <v>120.0</v>
      </c>
    </row>
    <row r="28" ht="15.75" customHeight="1">
      <c r="A28" s="3">
        <v>154.0</v>
      </c>
      <c r="B28" s="10" t="s">
        <v>39</v>
      </c>
      <c r="C28" s="10" t="s">
        <v>13</v>
      </c>
      <c r="D28" s="10" t="s">
        <v>14</v>
      </c>
      <c r="E28" s="3">
        <v>8.0</v>
      </c>
      <c r="F28" s="3">
        <v>7.0</v>
      </c>
      <c r="G28" s="3">
        <v>2.0</v>
      </c>
      <c r="H28" s="3">
        <v>1.0</v>
      </c>
      <c r="I28" s="11">
        <f t="shared" si="1"/>
        <v>15</v>
      </c>
      <c r="J28" s="3">
        <v>80.0</v>
      </c>
    </row>
    <row r="29" ht="15.75" customHeight="1">
      <c r="A29" s="3">
        <v>159.0</v>
      </c>
      <c r="B29" s="10" t="s">
        <v>40</v>
      </c>
      <c r="C29" s="10" t="s">
        <v>13</v>
      </c>
      <c r="D29" s="10" t="s">
        <v>14</v>
      </c>
      <c r="E29" s="3">
        <v>5.0</v>
      </c>
      <c r="F29" s="3">
        <v>6.0</v>
      </c>
      <c r="G29" s="3">
        <v>2.0</v>
      </c>
      <c r="H29" s="3">
        <v>1.0</v>
      </c>
      <c r="I29" s="11">
        <f t="shared" si="1"/>
        <v>11</v>
      </c>
      <c r="J29" s="3">
        <v>60.0</v>
      </c>
    </row>
    <row r="30" ht="15.75" customHeight="1">
      <c r="A30" s="3">
        <v>10.0</v>
      </c>
      <c r="B30" s="15" t="s">
        <v>41</v>
      </c>
      <c r="C30" s="15" t="s">
        <v>11</v>
      </c>
      <c r="D30" s="15" t="s">
        <v>11</v>
      </c>
      <c r="E30" s="15">
        <v>4.0</v>
      </c>
      <c r="F30" s="15">
        <v>4.0</v>
      </c>
      <c r="G30" s="15">
        <v>3.0</v>
      </c>
      <c r="H30" s="15">
        <v>1.0</v>
      </c>
      <c r="I30" s="11">
        <f t="shared" si="1"/>
        <v>8</v>
      </c>
      <c r="J30" s="15">
        <v>50.0</v>
      </c>
    </row>
    <row r="31" ht="15.75" customHeight="1">
      <c r="A31" s="7">
        <v>31.0</v>
      </c>
      <c r="B31" s="8" t="s">
        <v>42</v>
      </c>
      <c r="C31" s="8" t="s">
        <v>11</v>
      </c>
      <c r="D31" s="8" t="s">
        <v>11</v>
      </c>
      <c r="E31" s="7">
        <v>7.0</v>
      </c>
      <c r="F31" s="7">
        <v>6.0</v>
      </c>
      <c r="G31" s="7">
        <v>3.0</v>
      </c>
      <c r="H31" s="7">
        <v>1.0</v>
      </c>
      <c r="I31" s="9">
        <f t="shared" si="1"/>
        <v>13</v>
      </c>
      <c r="J31" s="7">
        <v>80.0</v>
      </c>
    </row>
    <row r="32" ht="15.75" customHeight="1">
      <c r="A32" s="3">
        <v>47.0</v>
      </c>
      <c r="B32" s="15" t="s">
        <v>43</v>
      </c>
      <c r="C32" s="15" t="s">
        <v>11</v>
      </c>
      <c r="D32" s="15" t="s">
        <v>11</v>
      </c>
      <c r="E32" s="15">
        <v>6.0</v>
      </c>
      <c r="F32" s="15">
        <v>6.0</v>
      </c>
      <c r="G32" s="15">
        <v>3.0</v>
      </c>
      <c r="H32" s="15">
        <v>-1.0</v>
      </c>
      <c r="I32" s="11">
        <f t="shared" si="1"/>
        <v>12</v>
      </c>
      <c r="J32" s="15">
        <v>60.0</v>
      </c>
    </row>
    <row r="33" ht="15.75" customHeight="1">
      <c r="A33" s="3">
        <v>114.0</v>
      </c>
      <c r="B33" s="10" t="s">
        <v>44</v>
      </c>
      <c r="C33" s="10" t="s">
        <v>13</v>
      </c>
      <c r="D33" s="10" t="s">
        <v>11</v>
      </c>
      <c r="E33" s="3">
        <v>7.0</v>
      </c>
      <c r="F33" s="3">
        <v>5.0</v>
      </c>
      <c r="G33" s="3">
        <v>3.0</v>
      </c>
      <c r="H33" s="3">
        <v>-1.0</v>
      </c>
      <c r="I33" s="11">
        <f t="shared" si="1"/>
        <v>12</v>
      </c>
      <c r="J33" s="3">
        <v>80.0</v>
      </c>
    </row>
    <row r="34" ht="15.75" customHeight="1">
      <c r="A34" s="3">
        <v>127.0</v>
      </c>
      <c r="B34" s="10" t="s">
        <v>45</v>
      </c>
      <c r="C34" s="10" t="s">
        <v>13</v>
      </c>
      <c r="D34" s="10" t="s">
        <v>11</v>
      </c>
      <c r="E34" s="3">
        <v>6.0</v>
      </c>
      <c r="F34" s="3">
        <v>6.0</v>
      </c>
      <c r="G34" s="3">
        <v>3.0</v>
      </c>
      <c r="H34" s="3">
        <v>-1.0</v>
      </c>
      <c r="I34" s="11">
        <f t="shared" si="1"/>
        <v>12</v>
      </c>
      <c r="J34" s="3">
        <v>60.0</v>
      </c>
    </row>
    <row r="35" ht="15.75" customHeight="1">
      <c r="A35" s="3">
        <v>3.0</v>
      </c>
      <c r="B35" s="10" t="s">
        <v>46</v>
      </c>
      <c r="C35" s="10" t="s">
        <v>13</v>
      </c>
      <c r="D35" s="10" t="s">
        <v>14</v>
      </c>
      <c r="E35" s="3">
        <v>5.0</v>
      </c>
      <c r="F35" s="3">
        <v>5.0</v>
      </c>
      <c r="G35" s="3">
        <v>3.0</v>
      </c>
      <c r="H35" s="3">
        <v>1.0</v>
      </c>
      <c r="I35" s="11">
        <f t="shared" si="1"/>
        <v>10</v>
      </c>
      <c r="J35" s="3">
        <v>50.0</v>
      </c>
    </row>
    <row r="36" ht="15.75" customHeight="1">
      <c r="A36" s="3">
        <v>7.0</v>
      </c>
      <c r="B36" s="10" t="s">
        <v>47</v>
      </c>
      <c r="C36" s="10" t="s">
        <v>13</v>
      </c>
      <c r="D36" s="10" t="s">
        <v>14</v>
      </c>
      <c r="E36" s="3">
        <v>3.0</v>
      </c>
      <c r="F36" s="3">
        <v>3.0</v>
      </c>
      <c r="G36" s="3">
        <v>3.0</v>
      </c>
      <c r="H36" s="3">
        <v>-1.0</v>
      </c>
      <c r="I36" s="11">
        <f t="shared" si="1"/>
        <v>6</v>
      </c>
      <c r="J36" s="3">
        <v>30.0</v>
      </c>
    </row>
    <row r="37" ht="15.75" customHeight="1">
      <c r="A37" s="3">
        <v>13.0</v>
      </c>
      <c r="B37" s="10" t="s">
        <v>48</v>
      </c>
      <c r="C37" s="10" t="s">
        <v>13</v>
      </c>
      <c r="D37" s="10" t="s">
        <v>14</v>
      </c>
      <c r="E37" s="3">
        <v>5.0</v>
      </c>
      <c r="F37" s="3">
        <v>6.0</v>
      </c>
      <c r="G37" s="3">
        <v>3.0</v>
      </c>
      <c r="H37" s="3">
        <v>-1.0</v>
      </c>
      <c r="I37" s="11">
        <f t="shared" si="1"/>
        <v>11</v>
      </c>
      <c r="J37" s="3">
        <v>60.0</v>
      </c>
    </row>
    <row r="38" ht="15.75" customHeight="1">
      <c r="A38" s="3">
        <v>26.0</v>
      </c>
      <c r="B38" s="10" t="s">
        <v>49</v>
      </c>
      <c r="C38" s="10" t="s">
        <v>13</v>
      </c>
      <c r="D38" s="10" t="s">
        <v>14</v>
      </c>
      <c r="E38" s="3">
        <v>5.0</v>
      </c>
      <c r="F38" s="3">
        <v>6.0</v>
      </c>
      <c r="G38" s="3">
        <v>3.0</v>
      </c>
      <c r="H38" s="3">
        <v>-1.0</v>
      </c>
      <c r="I38" s="11">
        <f t="shared" si="1"/>
        <v>11</v>
      </c>
      <c r="J38" s="3">
        <v>60.0</v>
      </c>
    </row>
    <row r="39" ht="15.75" customHeight="1">
      <c r="A39" s="3">
        <v>33.0</v>
      </c>
      <c r="B39" s="10" t="s">
        <v>50</v>
      </c>
      <c r="C39" s="10" t="s">
        <v>11</v>
      </c>
      <c r="D39" s="10" t="s">
        <v>14</v>
      </c>
      <c r="E39" s="3">
        <v>8.0</v>
      </c>
      <c r="F39" s="3">
        <v>8.0</v>
      </c>
      <c r="G39" s="3">
        <v>3.0</v>
      </c>
      <c r="H39" s="3">
        <v>1.0</v>
      </c>
      <c r="I39" s="11">
        <f t="shared" si="1"/>
        <v>16</v>
      </c>
      <c r="J39" s="3">
        <v>100.0</v>
      </c>
    </row>
    <row r="40" ht="15.75" customHeight="1">
      <c r="A40" s="3">
        <v>34.0</v>
      </c>
      <c r="B40" s="10" t="s">
        <v>51</v>
      </c>
      <c r="C40" s="10" t="s">
        <v>11</v>
      </c>
      <c r="D40" s="10" t="s">
        <v>14</v>
      </c>
      <c r="E40" s="3">
        <v>7.0</v>
      </c>
      <c r="F40" s="3">
        <v>5.0</v>
      </c>
      <c r="G40" s="3">
        <v>3.0</v>
      </c>
      <c r="H40" s="3">
        <v>1.0</v>
      </c>
      <c r="I40" s="11">
        <f t="shared" si="1"/>
        <v>12</v>
      </c>
      <c r="J40" s="3">
        <v>80.0</v>
      </c>
    </row>
    <row r="41" ht="15.75" customHeight="1">
      <c r="A41" s="3">
        <v>39.0</v>
      </c>
      <c r="B41" s="10" t="s">
        <v>52</v>
      </c>
      <c r="C41" s="10" t="s">
        <v>13</v>
      </c>
      <c r="D41" s="10" t="s">
        <v>14</v>
      </c>
      <c r="E41" s="3">
        <v>6.0</v>
      </c>
      <c r="F41" s="3">
        <v>6.0</v>
      </c>
      <c r="G41" s="3">
        <v>3.0</v>
      </c>
      <c r="H41" s="3">
        <v>-1.0</v>
      </c>
      <c r="I41" s="11">
        <f t="shared" si="1"/>
        <v>12</v>
      </c>
      <c r="J41" s="3">
        <v>60.0</v>
      </c>
    </row>
    <row r="42" ht="15.75" customHeight="1">
      <c r="A42" s="3">
        <v>40.0</v>
      </c>
      <c r="B42" s="10" t="s">
        <v>53</v>
      </c>
      <c r="C42" s="10" t="s">
        <v>13</v>
      </c>
      <c r="D42" s="10" t="s">
        <v>14</v>
      </c>
      <c r="E42" s="3">
        <v>6.0</v>
      </c>
      <c r="F42" s="3">
        <v>5.0</v>
      </c>
      <c r="G42" s="3">
        <v>3.0</v>
      </c>
      <c r="H42" s="3">
        <v>-1.0</v>
      </c>
      <c r="I42" s="11">
        <f t="shared" si="1"/>
        <v>11</v>
      </c>
      <c r="J42" s="3">
        <v>60.0</v>
      </c>
    </row>
    <row r="43" ht="15.75" customHeight="1">
      <c r="A43" s="3">
        <v>43.0</v>
      </c>
      <c r="B43" s="10" t="s">
        <v>54</v>
      </c>
      <c r="C43" s="10" t="s">
        <v>13</v>
      </c>
      <c r="D43" s="10" t="s">
        <v>14</v>
      </c>
      <c r="E43" s="3">
        <v>4.0</v>
      </c>
      <c r="F43" s="3">
        <v>8.0</v>
      </c>
      <c r="G43" s="3">
        <v>3.0</v>
      </c>
      <c r="H43" s="3">
        <v>1.0</v>
      </c>
      <c r="I43" s="11">
        <f t="shared" si="1"/>
        <v>12</v>
      </c>
      <c r="J43" s="3">
        <v>60.0</v>
      </c>
    </row>
    <row r="44" ht="15.75" customHeight="1">
      <c r="A44" s="3">
        <v>45.0</v>
      </c>
      <c r="B44" s="10" t="s">
        <v>55</v>
      </c>
      <c r="C44" s="10" t="s">
        <v>11</v>
      </c>
      <c r="D44" s="10" t="s">
        <v>14</v>
      </c>
      <c r="E44" s="3">
        <v>8.0</v>
      </c>
      <c r="F44" s="3">
        <v>7.0</v>
      </c>
      <c r="G44" s="3">
        <v>3.0</v>
      </c>
      <c r="H44" s="3">
        <v>1.0</v>
      </c>
      <c r="I44" s="11">
        <f t="shared" si="1"/>
        <v>15</v>
      </c>
      <c r="J44" s="3">
        <v>80.0</v>
      </c>
    </row>
    <row r="45" ht="15.75" customHeight="1">
      <c r="A45" s="3">
        <v>52.0</v>
      </c>
      <c r="B45" s="10" t="s">
        <v>56</v>
      </c>
      <c r="C45" s="10" t="s">
        <v>13</v>
      </c>
      <c r="D45" s="10" t="s">
        <v>14</v>
      </c>
      <c r="E45" s="3">
        <v>4.0</v>
      </c>
      <c r="F45" s="3">
        <v>4.0</v>
      </c>
      <c r="G45" s="3">
        <v>3.0</v>
      </c>
      <c r="H45" s="3">
        <v>-1.0</v>
      </c>
      <c r="I45" s="11">
        <f t="shared" si="1"/>
        <v>8</v>
      </c>
      <c r="J45" s="3">
        <v>40.0</v>
      </c>
    </row>
    <row r="46" ht="15.75" customHeight="1">
      <c r="A46" s="3">
        <v>59.0</v>
      </c>
      <c r="B46" s="10" t="s">
        <v>57</v>
      </c>
      <c r="C46" s="10" t="s">
        <v>13</v>
      </c>
      <c r="D46" s="10" t="s">
        <v>14</v>
      </c>
      <c r="E46" s="3">
        <v>5.0</v>
      </c>
      <c r="F46" s="3">
        <v>6.0</v>
      </c>
      <c r="G46" s="3">
        <v>3.0</v>
      </c>
      <c r="H46" s="3">
        <v>1.0</v>
      </c>
      <c r="I46" s="11">
        <f t="shared" si="1"/>
        <v>11</v>
      </c>
      <c r="J46" s="3">
        <v>60.0</v>
      </c>
    </row>
    <row r="47" ht="15.75" customHeight="1">
      <c r="A47" s="3">
        <v>65.0</v>
      </c>
      <c r="B47" s="10" t="s">
        <v>58</v>
      </c>
      <c r="C47" s="10" t="s">
        <v>11</v>
      </c>
      <c r="D47" s="10" t="s">
        <v>14</v>
      </c>
      <c r="E47" s="3">
        <v>5.0</v>
      </c>
      <c r="F47" s="3">
        <v>5.0</v>
      </c>
      <c r="G47" s="3">
        <v>3.0</v>
      </c>
      <c r="H47" s="3">
        <v>-1.0</v>
      </c>
      <c r="I47" s="11">
        <f t="shared" si="1"/>
        <v>10</v>
      </c>
      <c r="J47" s="3">
        <v>60.0</v>
      </c>
    </row>
    <row r="48" ht="15.75" customHeight="1">
      <c r="A48" s="3">
        <v>75.0</v>
      </c>
      <c r="B48" s="10" t="s">
        <v>59</v>
      </c>
      <c r="C48" s="10" t="s">
        <v>13</v>
      </c>
      <c r="D48" s="10" t="s">
        <v>14</v>
      </c>
      <c r="E48" s="3">
        <v>6.0</v>
      </c>
      <c r="F48" s="3">
        <v>5.0</v>
      </c>
      <c r="G48" s="3">
        <v>3.0</v>
      </c>
      <c r="H48" s="3">
        <v>-1.0</v>
      </c>
      <c r="I48" s="11">
        <f t="shared" si="1"/>
        <v>11</v>
      </c>
      <c r="J48" s="3">
        <v>60.0</v>
      </c>
    </row>
    <row r="49" ht="15.75" customHeight="1">
      <c r="A49" s="3">
        <v>76.0</v>
      </c>
      <c r="B49" s="10" t="s">
        <v>60</v>
      </c>
      <c r="C49" s="10" t="s">
        <v>13</v>
      </c>
      <c r="D49" s="10" t="s">
        <v>14</v>
      </c>
      <c r="E49" s="3">
        <v>3.0</v>
      </c>
      <c r="F49" s="3">
        <v>3.0</v>
      </c>
      <c r="G49" s="3">
        <v>3.0</v>
      </c>
      <c r="H49" s="3">
        <v>1.0</v>
      </c>
      <c r="I49" s="11">
        <f t="shared" si="1"/>
        <v>6</v>
      </c>
      <c r="J49" s="3">
        <v>30.0</v>
      </c>
    </row>
    <row r="50" ht="15.75" customHeight="1">
      <c r="A50" s="3">
        <v>82.0</v>
      </c>
      <c r="B50" s="10" t="s">
        <v>61</v>
      </c>
      <c r="C50" s="10" t="s">
        <v>11</v>
      </c>
      <c r="D50" s="10" t="s">
        <v>14</v>
      </c>
      <c r="E50" s="3">
        <v>6.0</v>
      </c>
      <c r="F50" s="3">
        <v>8.0</v>
      </c>
      <c r="G50" s="3">
        <v>3.0</v>
      </c>
      <c r="H50" s="3">
        <v>-1.0</v>
      </c>
      <c r="I50" s="11">
        <f t="shared" si="1"/>
        <v>14</v>
      </c>
      <c r="J50" s="3">
        <v>80.0</v>
      </c>
    </row>
    <row r="51" ht="15.75" customHeight="1">
      <c r="A51" s="3">
        <v>104.0</v>
      </c>
      <c r="B51" s="10" t="s">
        <v>62</v>
      </c>
      <c r="C51" s="10" t="s">
        <v>13</v>
      </c>
      <c r="D51" s="10" t="s">
        <v>14</v>
      </c>
      <c r="E51" s="3">
        <v>5.0</v>
      </c>
      <c r="F51" s="3">
        <v>5.0</v>
      </c>
      <c r="G51" s="3">
        <v>3.0</v>
      </c>
      <c r="H51" s="3">
        <v>-1.0</v>
      </c>
      <c r="I51" s="11">
        <f t="shared" si="1"/>
        <v>10</v>
      </c>
      <c r="J51" s="3">
        <v>60.0</v>
      </c>
    </row>
    <row r="52" ht="15.75" customHeight="1">
      <c r="A52" s="3">
        <v>106.0</v>
      </c>
      <c r="B52" s="10" t="s">
        <v>63</v>
      </c>
      <c r="C52" s="10" t="s">
        <v>13</v>
      </c>
      <c r="D52" s="10" t="s">
        <v>14</v>
      </c>
      <c r="E52" s="3">
        <v>7.0</v>
      </c>
      <c r="F52" s="3">
        <v>5.0</v>
      </c>
      <c r="G52" s="3">
        <v>3.0</v>
      </c>
      <c r="H52" s="3">
        <v>-1.0</v>
      </c>
      <c r="I52" s="11">
        <f t="shared" si="1"/>
        <v>12</v>
      </c>
      <c r="J52" s="3">
        <v>60.0</v>
      </c>
    </row>
    <row r="53" ht="15.75" customHeight="1">
      <c r="A53" s="3">
        <v>108.0</v>
      </c>
      <c r="B53" s="12" t="s">
        <v>64</v>
      </c>
      <c r="C53" s="12" t="s">
        <v>13</v>
      </c>
      <c r="D53" s="12" t="s">
        <v>14</v>
      </c>
      <c r="E53" s="13">
        <v>6.0</v>
      </c>
      <c r="F53" s="13">
        <v>7.0</v>
      </c>
      <c r="G53" s="13">
        <v>3.0</v>
      </c>
      <c r="H53" s="13">
        <v>1.0</v>
      </c>
      <c r="I53" s="14">
        <f t="shared" si="1"/>
        <v>13</v>
      </c>
      <c r="J53" s="13">
        <v>80.0</v>
      </c>
    </row>
    <row r="54" ht="15.75" customHeight="1">
      <c r="A54" s="3">
        <v>110.0</v>
      </c>
      <c r="B54" s="10" t="s">
        <v>65</v>
      </c>
      <c r="C54" s="10" t="s">
        <v>13</v>
      </c>
      <c r="D54" s="10" t="s">
        <v>14</v>
      </c>
      <c r="E54" s="3">
        <v>6.0</v>
      </c>
      <c r="F54" s="3">
        <v>6.0</v>
      </c>
      <c r="G54" s="3">
        <v>3.0</v>
      </c>
      <c r="H54" s="3">
        <v>-1.0</v>
      </c>
      <c r="I54" s="11">
        <f t="shared" si="1"/>
        <v>12</v>
      </c>
      <c r="J54" s="3">
        <v>60.0</v>
      </c>
    </row>
    <row r="55" ht="15.75" customHeight="1">
      <c r="A55" s="3">
        <v>116.0</v>
      </c>
      <c r="B55" s="10" t="s">
        <v>66</v>
      </c>
      <c r="C55" s="10" t="s">
        <v>11</v>
      </c>
      <c r="D55" s="10" t="s">
        <v>14</v>
      </c>
      <c r="E55" s="3">
        <v>6.0</v>
      </c>
      <c r="F55" s="3">
        <v>5.0</v>
      </c>
      <c r="G55" s="3">
        <v>3.0</v>
      </c>
      <c r="H55" s="3">
        <v>-1.0</v>
      </c>
      <c r="I55" s="11">
        <f t="shared" si="1"/>
        <v>11</v>
      </c>
      <c r="J55" s="3">
        <v>60.0</v>
      </c>
    </row>
    <row r="56" ht="15.75" customHeight="1">
      <c r="A56" s="3">
        <v>117.0</v>
      </c>
      <c r="B56" s="8" t="s">
        <v>67</v>
      </c>
      <c r="C56" s="8" t="s">
        <v>11</v>
      </c>
      <c r="D56" s="8" t="s">
        <v>14</v>
      </c>
      <c r="E56" s="7">
        <v>7.0</v>
      </c>
      <c r="F56" s="7">
        <v>7.0</v>
      </c>
      <c r="G56" s="7">
        <v>3.0</v>
      </c>
      <c r="H56" s="7">
        <v>-1.0</v>
      </c>
      <c r="I56" s="9">
        <f t="shared" si="1"/>
        <v>14</v>
      </c>
      <c r="J56" s="7">
        <v>80.0</v>
      </c>
    </row>
    <row r="57" ht="15.75" customHeight="1">
      <c r="A57" s="3">
        <v>123.0</v>
      </c>
      <c r="B57" s="10" t="s">
        <v>68</v>
      </c>
      <c r="C57" s="10" t="s">
        <v>13</v>
      </c>
      <c r="D57" s="10" t="s">
        <v>14</v>
      </c>
      <c r="E57" s="3">
        <v>4.0</v>
      </c>
      <c r="F57" s="3">
        <v>5.0</v>
      </c>
      <c r="G57" s="3">
        <v>3.0</v>
      </c>
      <c r="H57" s="3">
        <v>1.0</v>
      </c>
      <c r="I57" s="11">
        <f t="shared" si="1"/>
        <v>9</v>
      </c>
      <c r="J57" s="3">
        <v>50.0</v>
      </c>
    </row>
    <row r="58" ht="15.75" customHeight="1">
      <c r="A58" s="3">
        <v>126.0</v>
      </c>
      <c r="B58" s="10" t="s">
        <v>69</v>
      </c>
      <c r="C58" s="10" t="s">
        <v>13</v>
      </c>
      <c r="D58" s="10" t="s">
        <v>14</v>
      </c>
      <c r="E58" s="3">
        <v>4.0</v>
      </c>
      <c r="F58" s="3">
        <v>4.0</v>
      </c>
      <c r="G58" s="3">
        <v>3.0</v>
      </c>
      <c r="H58" s="3">
        <v>1.0</v>
      </c>
      <c r="I58" s="11">
        <f t="shared" si="1"/>
        <v>8</v>
      </c>
      <c r="J58" s="3">
        <v>50.0</v>
      </c>
    </row>
    <row r="59" ht="15.75" customHeight="1">
      <c r="A59" s="3">
        <v>130.0</v>
      </c>
      <c r="B59" s="10" t="s">
        <v>70</v>
      </c>
      <c r="C59" s="10" t="s">
        <v>13</v>
      </c>
      <c r="D59" s="10" t="s">
        <v>14</v>
      </c>
      <c r="E59" s="3">
        <v>6.0</v>
      </c>
      <c r="F59" s="3">
        <v>6.0</v>
      </c>
      <c r="G59" s="3">
        <v>3.0</v>
      </c>
      <c r="H59" s="3">
        <v>1.0</v>
      </c>
      <c r="I59" s="11">
        <f t="shared" si="1"/>
        <v>12</v>
      </c>
      <c r="J59" s="3">
        <v>60.0</v>
      </c>
    </row>
    <row r="60" ht="15.75" customHeight="1">
      <c r="A60" s="3">
        <v>137.0</v>
      </c>
      <c r="B60" s="10" t="s">
        <v>71</v>
      </c>
      <c r="C60" s="10" t="s">
        <v>13</v>
      </c>
      <c r="D60" s="10" t="s">
        <v>14</v>
      </c>
      <c r="E60" s="3">
        <v>6.0</v>
      </c>
      <c r="F60" s="3">
        <v>3.0</v>
      </c>
      <c r="G60" s="3">
        <v>3.0</v>
      </c>
      <c r="H60" s="3">
        <v>-1.0</v>
      </c>
      <c r="I60" s="11">
        <f t="shared" si="1"/>
        <v>9</v>
      </c>
      <c r="J60" s="3">
        <v>60.0</v>
      </c>
    </row>
    <row r="61" ht="15.75" customHeight="1">
      <c r="A61" s="3">
        <v>151.0</v>
      </c>
      <c r="B61" s="10" t="s">
        <v>72</v>
      </c>
      <c r="C61" s="10" t="s">
        <v>11</v>
      </c>
      <c r="D61" s="10" t="s">
        <v>14</v>
      </c>
      <c r="E61" s="3">
        <v>9.0</v>
      </c>
      <c r="F61" s="3">
        <v>6.0</v>
      </c>
      <c r="G61" s="3">
        <v>3.0</v>
      </c>
      <c r="H61" s="3">
        <v>1.0</v>
      </c>
      <c r="I61" s="11">
        <f t="shared" si="1"/>
        <v>15</v>
      </c>
      <c r="J61" s="3">
        <v>80.0</v>
      </c>
    </row>
    <row r="62" ht="15.75" customHeight="1">
      <c r="A62" s="3">
        <v>156.0</v>
      </c>
      <c r="B62" s="10" t="s">
        <v>73</v>
      </c>
      <c r="C62" s="10" t="s">
        <v>13</v>
      </c>
      <c r="D62" s="10" t="s">
        <v>14</v>
      </c>
      <c r="E62" s="3">
        <v>4.0</v>
      </c>
      <c r="F62" s="3">
        <v>4.0</v>
      </c>
      <c r="G62" s="3">
        <v>3.0</v>
      </c>
      <c r="H62" s="3">
        <v>1.0</v>
      </c>
      <c r="I62" s="11">
        <f t="shared" si="1"/>
        <v>8</v>
      </c>
      <c r="J62" s="3">
        <v>40.0</v>
      </c>
    </row>
    <row r="63" ht="15.75" customHeight="1">
      <c r="A63" s="3">
        <v>157.0</v>
      </c>
      <c r="B63" s="10" t="s">
        <v>74</v>
      </c>
      <c r="C63" s="10" t="s">
        <v>13</v>
      </c>
      <c r="D63" s="10" t="s">
        <v>14</v>
      </c>
      <c r="E63" s="3">
        <v>5.0</v>
      </c>
      <c r="F63" s="3">
        <v>5.0</v>
      </c>
      <c r="G63" s="3">
        <v>3.0</v>
      </c>
      <c r="H63" s="3">
        <v>1.0</v>
      </c>
      <c r="I63" s="11">
        <f t="shared" si="1"/>
        <v>10</v>
      </c>
      <c r="J63" s="3">
        <v>50.0</v>
      </c>
    </row>
    <row r="64" ht="15.75" customHeight="1">
      <c r="A64" s="3">
        <v>29.0</v>
      </c>
      <c r="B64" s="10" t="s">
        <v>75</v>
      </c>
      <c r="C64" s="10" t="s">
        <v>13</v>
      </c>
      <c r="D64" s="10" t="s">
        <v>11</v>
      </c>
      <c r="E64" s="3">
        <v>3.0</v>
      </c>
      <c r="F64" s="3">
        <v>3.0</v>
      </c>
      <c r="G64" s="3">
        <v>4.0</v>
      </c>
      <c r="H64" s="3">
        <v>1.0</v>
      </c>
      <c r="I64" s="11">
        <f t="shared" si="1"/>
        <v>6</v>
      </c>
      <c r="J64" s="3">
        <v>30.0</v>
      </c>
    </row>
    <row r="65" ht="15.75" customHeight="1">
      <c r="A65" s="3">
        <v>56.0</v>
      </c>
      <c r="B65" s="10" t="s">
        <v>76</v>
      </c>
      <c r="C65" s="10" t="s">
        <v>11</v>
      </c>
      <c r="D65" s="10" t="s">
        <v>11</v>
      </c>
      <c r="E65" s="3">
        <v>1.0</v>
      </c>
      <c r="F65" s="3">
        <v>2.0</v>
      </c>
      <c r="G65" s="3">
        <v>4.0</v>
      </c>
      <c r="H65" s="3">
        <v>1.0</v>
      </c>
      <c r="I65" s="11">
        <f t="shared" si="1"/>
        <v>3</v>
      </c>
      <c r="J65" s="3">
        <v>30.0</v>
      </c>
    </row>
    <row r="66" ht="15.75" customHeight="1">
      <c r="A66" s="3">
        <v>87.0</v>
      </c>
      <c r="B66" s="16" t="s">
        <v>77</v>
      </c>
      <c r="C66" s="15" t="s">
        <v>11</v>
      </c>
      <c r="D66" s="15" t="s">
        <v>11</v>
      </c>
      <c r="E66" s="15">
        <v>7.0</v>
      </c>
      <c r="F66" s="15">
        <v>6.0</v>
      </c>
      <c r="G66" s="15">
        <v>4.0</v>
      </c>
      <c r="H66" s="15">
        <v>-1.0</v>
      </c>
      <c r="I66" s="11">
        <f t="shared" si="1"/>
        <v>13</v>
      </c>
      <c r="J66" s="15">
        <v>80.0</v>
      </c>
    </row>
    <row r="67" ht="15.75" customHeight="1">
      <c r="A67" s="3">
        <v>132.0</v>
      </c>
      <c r="B67" s="10" t="s">
        <v>78</v>
      </c>
      <c r="C67" s="10" t="s">
        <v>13</v>
      </c>
      <c r="D67" s="10" t="s">
        <v>11</v>
      </c>
      <c r="E67" s="3">
        <v>4.0</v>
      </c>
      <c r="F67" s="3">
        <v>4.0</v>
      </c>
      <c r="G67" s="3">
        <v>4.0</v>
      </c>
      <c r="H67" s="3">
        <v>1.0</v>
      </c>
      <c r="I67" s="11">
        <f t="shared" si="1"/>
        <v>8</v>
      </c>
      <c r="J67" s="3">
        <v>50.0</v>
      </c>
    </row>
    <row r="68" ht="15.75" customHeight="1">
      <c r="A68" s="3">
        <v>5.0</v>
      </c>
      <c r="B68" s="10" t="s">
        <v>79</v>
      </c>
      <c r="C68" s="10" t="s">
        <v>13</v>
      </c>
      <c r="D68" s="10" t="s">
        <v>14</v>
      </c>
      <c r="E68" s="3">
        <v>6.0</v>
      </c>
      <c r="F68" s="3">
        <v>5.0</v>
      </c>
      <c r="G68" s="3">
        <v>4.0</v>
      </c>
      <c r="H68" s="3">
        <v>-1.0</v>
      </c>
      <c r="I68" s="11">
        <f t="shared" si="1"/>
        <v>11</v>
      </c>
      <c r="J68" s="3">
        <v>60.0</v>
      </c>
    </row>
    <row r="69" ht="15.75" customHeight="1">
      <c r="A69" s="3">
        <v>8.0</v>
      </c>
      <c r="B69" s="10" t="s">
        <v>80</v>
      </c>
      <c r="C69" s="10" t="s">
        <v>13</v>
      </c>
      <c r="D69" s="10" t="s">
        <v>14</v>
      </c>
      <c r="E69" s="3">
        <v>7.0</v>
      </c>
      <c r="F69" s="3">
        <v>7.0</v>
      </c>
      <c r="G69" s="3">
        <v>4.0</v>
      </c>
      <c r="H69" s="3">
        <v>1.0</v>
      </c>
      <c r="I69" s="11">
        <f t="shared" si="1"/>
        <v>14</v>
      </c>
      <c r="J69" s="3">
        <v>80.0</v>
      </c>
    </row>
    <row r="70" ht="15.75" customHeight="1">
      <c r="A70" s="3">
        <v>21.0</v>
      </c>
      <c r="B70" s="10" t="s">
        <v>81</v>
      </c>
      <c r="C70" s="10" t="s">
        <v>11</v>
      </c>
      <c r="D70" s="10" t="s">
        <v>14</v>
      </c>
      <c r="E70" s="3">
        <v>5.0</v>
      </c>
      <c r="F70" s="3">
        <v>5.0</v>
      </c>
      <c r="G70" s="3">
        <v>4.0</v>
      </c>
      <c r="H70" s="3">
        <v>1.0</v>
      </c>
      <c r="I70" s="11">
        <f t="shared" si="1"/>
        <v>10</v>
      </c>
      <c r="J70" s="3">
        <v>60.0</v>
      </c>
    </row>
    <row r="71" ht="15.75" customHeight="1">
      <c r="A71" s="3">
        <v>27.0</v>
      </c>
      <c r="B71" s="10" t="s">
        <v>82</v>
      </c>
      <c r="C71" s="10" t="s">
        <v>13</v>
      </c>
      <c r="D71" s="10" t="s">
        <v>14</v>
      </c>
      <c r="E71" s="3">
        <v>5.0</v>
      </c>
      <c r="F71" s="3">
        <v>5.0</v>
      </c>
      <c r="G71" s="3">
        <v>4.0</v>
      </c>
      <c r="H71" s="3">
        <v>1.0</v>
      </c>
      <c r="I71" s="11">
        <f t="shared" si="1"/>
        <v>10</v>
      </c>
      <c r="J71" s="3">
        <v>50.0</v>
      </c>
    </row>
    <row r="72" ht="15.75" customHeight="1">
      <c r="A72" s="3">
        <v>32.0</v>
      </c>
      <c r="B72" s="10" t="s">
        <v>83</v>
      </c>
      <c r="C72" s="10" t="s">
        <v>13</v>
      </c>
      <c r="D72" s="10" t="s">
        <v>14</v>
      </c>
      <c r="E72" s="3">
        <v>5.0</v>
      </c>
      <c r="F72" s="3">
        <v>6.0</v>
      </c>
      <c r="G72" s="3">
        <v>4.0</v>
      </c>
      <c r="H72" s="3">
        <v>-1.0</v>
      </c>
      <c r="I72" s="11">
        <f t="shared" si="1"/>
        <v>11</v>
      </c>
      <c r="J72" s="3">
        <v>60.0</v>
      </c>
    </row>
    <row r="73" ht="15.75" customHeight="1">
      <c r="A73" s="3">
        <v>38.0</v>
      </c>
      <c r="B73" s="10" t="s">
        <v>84</v>
      </c>
      <c r="C73" s="10" t="s">
        <v>11</v>
      </c>
      <c r="D73" s="10" t="s">
        <v>14</v>
      </c>
      <c r="E73" s="3">
        <v>8.0</v>
      </c>
      <c r="F73" s="3">
        <v>8.0</v>
      </c>
      <c r="G73" s="3">
        <v>4.0</v>
      </c>
      <c r="H73" s="3">
        <v>-1.0</v>
      </c>
      <c r="I73" s="11">
        <f t="shared" si="1"/>
        <v>16</v>
      </c>
      <c r="J73" s="3">
        <v>100.0</v>
      </c>
    </row>
    <row r="74" ht="15.75" customHeight="1">
      <c r="A74" s="3">
        <v>53.0</v>
      </c>
      <c r="B74" s="10" t="s">
        <v>85</v>
      </c>
      <c r="C74" s="10" t="s">
        <v>11</v>
      </c>
      <c r="D74" s="10" t="s">
        <v>14</v>
      </c>
      <c r="E74" s="3">
        <v>7.0</v>
      </c>
      <c r="F74" s="3">
        <v>6.0</v>
      </c>
      <c r="G74" s="3">
        <v>4.0</v>
      </c>
      <c r="H74" s="3">
        <v>-1.0</v>
      </c>
      <c r="I74" s="11">
        <f t="shared" si="1"/>
        <v>13</v>
      </c>
      <c r="J74" s="3">
        <v>80.0</v>
      </c>
    </row>
    <row r="75" ht="15.75" customHeight="1">
      <c r="A75" s="3">
        <v>66.0</v>
      </c>
      <c r="B75" s="10" t="s">
        <v>86</v>
      </c>
      <c r="C75" s="10" t="s">
        <v>13</v>
      </c>
      <c r="D75" s="10" t="s">
        <v>14</v>
      </c>
      <c r="E75" s="3">
        <v>6.0</v>
      </c>
      <c r="F75" s="3">
        <v>5.0</v>
      </c>
      <c r="G75" s="3">
        <v>4.0</v>
      </c>
      <c r="H75" s="3">
        <v>-1.0</v>
      </c>
      <c r="I75" s="11">
        <f t="shared" si="1"/>
        <v>11</v>
      </c>
      <c r="J75" s="3">
        <v>60.0</v>
      </c>
    </row>
    <row r="76" ht="15.75" customHeight="1">
      <c r="A76" s="3">
        <v>68.0</v>
      </c>
      <c r="B76" s="10" t="s">
        <v>87</v>
      </c>
      <c r="C76" s="10" t="s">
        <v>13</v>
      </c>
      <c r="D76" s="10" t="s">
        <v>14</v>
      </c>
      <c r="E76" s="3">
        <v>7.0</v>
      </c>
      <c r="F76" s="3">
        <v>5.0</v>
      </c>
      <c r="G76" s="3">
        <v>4.0</v>
      </c>
      <c r="H76" s="3">
        <v>-1.0</v>
      </c>
      <c r="I76" s="11">
        <f t="shared" si="1"/>
        <v>12</v>
      </c>
      <c r="J76" s="3">
        <v>60.0</v>
      </c>
    </row>
    <row r="77" ht="15.75" customHeight="1">
      <c r="A77" s="3">
        <v>70.0</v>
      </c>
      <c r="B77" s="12" t="s">
        <v>88</v>
      </c>
      <c r="C77" s="12" t="s">
        <v>11</v>
      </c>
      <c r="D77" s="12" t="s">
        <v>14</v>
      </c>
      <c r="E77" s="13">
        <v>8.0</v>
      </c>
      <c r="F77" s="13">
        <v>7.0</v>
      </c>
      <c r="G77" s="13">
        <v>4.0</v>
      </c>
      <c r="H77" s="13">
        <v>-1.0</v>
      </c>
      <c r="I77" s="14">
        <f t="shared" si="1"/>
        <v>15</v>
      </c>
      <c r="J77" s="13">
        <v>80.0</v>
      </c>
    </row>
    <row r="78" ht="15.75" customHeight="1">
      <c r="A78" s="3">
        <v>72.0</v>
      </c>
      <c r="B78" s="10" t="s">
        <v>89</v>
      </c>
      <c r="C78" s="10" t="s">
        <v>11</v>
      </c>
      <c r="D78" s="10" t="s">
        <v>14</v>
      </c>
      <c r="E78" s="3">
        <v>8.0</v>
      </c>
      <c r="F78" s="3">
        <v>7.0</v>
      </c>
      <c r="G78" s="3">
        <v>4.0</v>
      </c>
      <c r="H78" s="3">
        <v>1.0</v>
      </c>
      <c r="I78" s="11">
        <f t="shared" si="1"/>
        <v>15</v>
      </c>
      <c r="J78" s="3">
        <v>100.0</v>
      </c>
    </row>
    <row r="79" ht="15.75" customHeight="1">
      <c r="A79" s="3">
        <v>74.0</v>
      </c>
      <c r="B79" s="10" t="s">
        <v>90</v>
      </c>
      <c r="C79" s="10" t="s">
        <v>13</v>
      </c>
      <c r="D79" s="10" t="s">
        <v>14</v>
      </c>
      <c r="E79" s="3">
        <v>9.0</v>
      </c>
      <c r="F79" s="3">
        <v>6.0</v>
      </c>
      <c r="G79" s="3">
        <v>4.0</v>
      </c>
      <c r="H79" s="3">
        <v>-1.0</v>
      </c>
      <c r="I79" s="11">
        <f t="shared" si="1"/>
        <v>15</v>
      </c>
      <c r="J79" s="3">
        <v>100.0</v>
      </c>
    </row>
    <row r="80" ht="15.75" customHeight="1">
      <c r="A80" s="3">
        <v>78.0</v>
      </c>
      <c r="B80" s="10" t="s">
        <v>91</v>
      </c>
      <c r="C80" s="10" t="s">
        <v>13</v>
      </c>
      <c r="D80" s="10" t="s">
        <v>14</v>
      </c>
      <c r="E80" s="3">
        <v>7.0</v>
      </c>
      <c r="F80" s="3">
        <v>8.0</v>
      </c>
      <c r="G80" s="3">
        <v>4.0</v>
      </c>
      <c r="H80" s="3">
        <v>1.0</v>
      </c>
      <c r="I80" s="11">
        <f t="shared" si="1"/>
        <v>15</v>
      </c>
      <c r="J80" s="3">
        <v>80.0</v>
      </c>
    </row>
    <row r="81" ht="15.75" customHeight="1">
      <c r="A81" s="3">
        <v>80.0</v>
      </c>
      <c r="B81" s="10" t="s">
        <v>92</v>
      </c>
      <c r="C81" s="10" t="s">
        <v>11</v>
      </c>
      <c r="D81" s="10" t="s">
        <v>14</v>
      </c>
      <c r="E81" s="3">
        <v>7.0</v>
      </c>
      <c r="F81" s="3">
        <v>6.0</v>
      </c>
      <c r="G81" s="3">
        <v>4.0</v>
      </c>
      <c r="H81" s="3">
        <v>-1.0</v>
      </c>
      <c r="I81" s="11">
        <f t="shared" si="1"/>
        <v>13</v>
      </c>
      <c r="J81" s="3">
        <v>80.0</v>
      </c>
    </row>
    <row r="82" ht="15.75" customHeight="1">
      <c r="A82" s="3">
        <v>84.0</v>
      </c>
      <c r="B82" s="10" t="s">
        <v>93</v>
      </c>
      <c r="C82" s="10" t="s">
        <v>11</v>
      </c>
      <c r="D82" s="10" t="s">
        <v>14</v>
      </c>
      <c r="E82" s="3">
        <v>7.0</v>
      </c>
      <c r="F82" s="3">
        <v>7.0</v>
      </c>
      <c r="G82" s="3">
        <v>4.0</v>
      </c>
      <c r="H82" s="3">
        <v>-1.0</v>
      </c>
      <c r="I82" s="11">
        <f t="shared" si="1"/>
        <v>14</v>
      </c>
      <c r="J82" s="3">
        <v>80.0</v>
      </c>
    </row>
    <row r="83" ht="15.75" customHeight="1">
      <c r="A83" s="3">
        <v>94.0</v>
      </c>
      <c r="B83" s="10" t="s">
        <v>94</v>
      </c>
      <c r="C83" s="10" t="s">
        <v>13</v>
      </c>
      <c r="D83" s="10" t="s">
        <v>14</v>
      </c>
      <c r="E83" s="3">
        <v>3.0</v>
      </c>
      <c r="F83" s="3">
        <v>3.0</v>
      </c>
      <c r="G83" s="3">
        <v>4.0</v>
      </c>
      <c r="H83" s="3">
        <v>1.0</v>
      </c>
      <c r="I83" s="11">
        <f t="shared" si="1"/>
        <v>6</v>
      </c>
      <c r="J83" s="3">
        <v>30.0</v>
      </c>
    </row>
    <row r="84" ht="15.75" customHeight="1">
      <c r="A84" s="3">
        <v>97.0</v>
      </c>
      <c r="B84" s="10" t="s">
        <v>95</v>
      </c>
      <c r="C84" s="10" t="s">
        <v>13</v>
      </c>
      <c r="D84" s="10" t="s">
        <v>14</v>
      </c>
      <c r="E84" s="3">
        <v>5.0</v>
      </c>
      <c r="F84" s="3">
        <v>5.0</v>
      </c>
      <c r="G84" s="3">
        <v>4.0</v>
      </c>
      <c r="H84" s="3">
        <v>-1.0</v>
      </c>
      <c r="I84" s="11">
        <f t="shared" si="1"/>
        <v>10</v>
      </c>
      <c r="J84" s="3">
        <v>60.0</v>
      </c>
    </row>
    <row r="85" ht="15.75" customHeight="1">
      <c r="A85" s="3">
        <v>100.0</v>
      </c>
      <c r="B85" s="10" t="s">
        <v>96</v>
      </c>
      <c r="C85" s="10" t="s">
        <v>11</v>
      </c>
      <c r="D85" s="10" t="s">
        <v>14</v>
      </c>
      <c r="E85" s="3">
        <v>7.0</v>
      </c>
      <c r="F85" s="3">
        <v>7.0</v>
      </c>
      <c r="G85" s="3">
        <v>4.0</v>
      </c>
      <c r="H85" s="3">
        <v>1.0</v>
      </c>
      <c r="I85" s="11">
        <f t="shared" si="1"/>
        <v>14</v>
      </c>
      <c r="J85" s="3">
        <v>80.0</v>
      </c>
    </row>
    <row r="86" ht="15.75" customHeight="1">
      <c r="A86" s="3">
        <v>102.0</v>
      </c>
      <c r="B86" s="10" t="s">
        <v>97</v>
      </c>
      <c r="C86" s="10" t="s">
        <v>13</v>
      </c>
      <c r="D86" s="10" t="s">
        <v>14</v>
      </c>
      <c r="E86" s="3">
        <v>5.0</v>
      </c>
      <c r="F86" s="3">
        <v>6.0</v>
      </c>
      <c r="G86" s="3">
        <v>4.0</v>
      </c>
      <c r="H86" s="3">
        <v>-1.0</v>
      </c>
      <c r="I86" s="11">
        <f t="shared" si="1"/>
        <v>11</v>
      </c>
      <c r="J86" s="3">
        <v>60.0</v>
      </c>
    </row>
    <row r="87" ht="15.75" customHeight="1">
      <c r="A87" s="3">
        <v>109.0</v>
      </c>
      <c r="B87" s="10" t="s">
        <v>98</v>
      </c>
      <c r="C87" s="10" t="s">
        <v>13</v>
      </c>
      <c r="D87" s="10" t="s">
        <v>14</v>
      </c>
      <c r="E87" s="3">
        <v>6.0</v>
      </c>
      <c r="F87" s="3">
        <v>6.0</v>
      </c>
      <c r="G87" s="3">
        <v>4.0</v>
      </c>
      <c r="H87" s="3">
        <v>1.0</v>
      </c>
      <c r="I87" s="11">
        <f t="shared" si="1"/>
        <v>12</v>
      </c>
      <c r="J87" s="3">
        <v>60.0</v>
      </c>
    </row>
    <row r="88" ht="15.75" customHeight="1">
      <c r="A88" s="3">
        <v>111.0</v>
      </c>
      <c r="B88" s="10" t="s">
        <v>99</v>
      </c>
      <c r="C88" s="10" t="s">
        <v>13</v>
      </c>
      <c r="D88" s="10" t="s">
        <v>14</v>
      </c>
      <c r="E88" s="3">
        <v>5.0</v>
      </c>
      <c r="F88" s="3">
        <v>5.0</v>
      </c>
      <c r="G88" s="3">
        <v>4.0</v>
      </c>
      <c r="H88" s="3">
        <v>-1.0</v>
      </c>
      <c r="I88" s="11">
        <f t="shared" si="1"/>
        <v>10</v>
      </c>
      <c r="J88" s="3">
        <v>60.0</v>
      </c>
    </row>
    <row r="89" ht="15.75" customHeight="1">
      <c r="A89" s="3">
        <v>112.0</v>
      </c>
      <c r="B89" s="10" t="s">
        <v>100</v>
      </c>
      <c r="C89" s="10" t="s">
        <v>13</v>
      </c>
      <c r="D89" s="10" t="s">
        <v>14</v>
      </c>
      <c r="E89" s="3">
        <v>5.0</v>
      </c>
      <c r="F89" s="3">
        <v>4.0</v>
      </c>
      <c r="G89" s="3">
        <v>4.0</v>
      </c>
      <c r="H89" s="3">
        <v>1.0</v>
      </c>
      <c r="I89" s="11">
        <f t="shared" si="1"/>
        <v>9</v>
      </c>
      <c r="J89" s="3">
        <v>50.0</v>
      </c>
    </row>
    <row r="90" ht="15.75" customHeight="1">
      <c r="A90" s="3">
        <v>113.0</v>
      </c>
      <c r="B90" s="10" t="s">
        <v>101</v>
      </c>
      <c r="C90" s="10" t="s">
        <v>13</v>
      </c>
      <c r="D90" s="10" t="s">
        <v>14</v>
      </c>
      <c r="E90" s="3">
        <v>5.0</v>
      </c>
      <c r="F90" s="3">
        <v>6.0</v>
      </c>
      <c r="G90" s="3">
        <v>4.0</v>
      </c>
      <c r="H90" s="3">
        <v>1.0</v>
      </c>
      <c r="I90" s="11">
        <f t="shared" si="1"/>
        <v>11</v>
      </c>
      <c r="J90" s="3">
        <v>60.0</v>
      </c>
    </row>
    <row r="91" ht="15.75" customHeight="1">
      <c r="A91" s="3">
        <v>124.0</v>
      </c>
      <c r="B91" s="10" t="s">
        <v>102</v>
      </c>
      <c r="C91" s="10" t="s">
        <v>11</v>
      </c>
      <c r="D91" s="10" t="s">
        <v>14</v>
      </c>
      <c r="E91" s="3">
        <v>8.0</v>
      </c>
      <c r="F91" s="3">
        <v>8.0</v>
      </c>
      <c r="G91" s="3">
        <v>4.0</v>
      </c>
      <c r="H91" s="3">
        <v>1.0</v>
      </c>
      <c r="I91" s="11">
        <f t="shared" si="1"/>
        <v>16</v>
      </c>
      <c r="J91" s="3">
        <v>100.0</v>
      </c>
    </row>
    <row r="92" ht="15.75" customHeight="1">
      <c r="A92" s="3">
        <v>135.0</v>
      </c>
      <c r="B92" s="10" t="s">
        <v>103</v>
      </c>
      <c r="C92" s="10" t="s">
        <v>13</v>
      </c>
      <c r="D92" s="10" t="s">
        <v>14</v>
      </c>
      <c r="E92" s="3">
        <v>5.0</v>
      </c>
      <c r="F92" s="3">
        <v>4.0</v>
      </c>
      <c r="G92" s="3">
        <v>4.0</v>
      </c>
      <c r="H92" s="3">
        <v>1.0</v>
      </c>
      <c r="I92" s="11">
        <f t="shared" si="1"/>
        <v>9</v>
      </c>
      <c r="J92" s="3">
        <v>40.0</v>
      </c>
    </row>
    <row r="93" ht="15.75" customHeight="1">
      <c r="A93" s="3">
        <v>148.0</v>
      </c>
      <c r="B93" s="10" t="s">
        <v>104</v>
      </c>
      <c r="C93" s="10" t="s">
        <v>11</v>
      </c>
      <c r="D93" s="10" t="s">
        <v>14</v>
      </c>
      <c r="E93" s="3">
        <v>5.0</v>
      </c>
      <c r="F93" s="3">
        <v>5.0</v>
      </c>
      <c r="G93" s="3">
        <v>4.0</v>
      </c>
      <c r="H93" s="3">
        <v>1.0</v>
      </c>
      <c r="I93" s="11">
        <f t="shared" si="1"/>
        <v>10</v>
      </c>
      <c r="J93" s="3">
        <v>60.0</v>
      </c>
    </row>
    <row r="94" ht="15.75" customHeight="1">
      <c r="A94" s="7">
        <v>155.0</v>
      </c>
      <c r="B94" s="8" t="s">
        <v>105</v>
      </c>
      <c r="C94" s="8" t="s">
        <v>11</v>
      </c>
      <c r="D94" s="8" t="s">
        <v>14</v>
      </c>
      <c r="E94" s="7">
        <v>8.0</v>
      </c>
      <c r="F94" s="7">
        <v>8.0</v>
      </c>
      <c r="G94" s="7">
        <v>4.0</v>
      </c>
      <c r="H94" s="7">
        <v>-1.0</v>
      </c>
      <c r="I94" s="9">
        <f t="shared" si="1"/>
        <v>16</v>
      </c>
      <c r="J94" s="7">
        <v>100.0</v>
      </c>
    </row>
    <row r="95" ht="15.75" customHeight="1">
      <c r="A95" s="3">
        <v>17.0</v>
      </c>
      <c r="B95" s="10" t="s">
        <v>106</v>
      </c>
      <c r="C95" s="10" t="s">
        <v>13</v>
      </c>
      <c r="D95" s="10" t="s">
        <v>11</v>
      </c>
      <c r="E95" s="3">
        <v>5.0</v>
      </c>
      <c r="F95" s="3">
        <v>6.0</v>
      </c>
      <c r="G95" s="3">
        <v>5.0</v>
      </c>
      <c r="H95" s="3">
        <v>-1.0</v>
      </c>
      <c r="I95" s="11">
        <f t="shared" si="1"/>
        <v>11</v>
      </c>
      <c r="J95" s="3">
        <v>60.0</v>
      </c>
    </row>
    <row r="96" ht="15.75" customHeight="1">
      <c r="A96" s="3">
        <v>58.0</v>
      </c>
      <c r="B96" s="10" t="s">
        <v>107</v>
      </c>
      <c r="C96" s="10" t="s">
        <v>13</v>
      </c>
      <c r="D96" s="10" t="s">
        <v>11</v>
      </c>
      <c r="E96" s="3">
        <v>6.0</v>
      </c>
      <c r="F96" s="3">
        <v>4.0</v>
      </c>
      <c r="G96" s="3">
        <v>5.0</v>
      </c>
      <c r="H96" s="3">
        <v>-1.0</v>
      </c>
      <c r="I96" s="11">
        <f t="shared" si="1"/>
        <v>10</v>
      </c>
      <c r="J96" s="3">
        <v>60.0</v>
      </c>
    </row>
    <row r="97" ht="15.75" customHeight="1">
      <c r="A97" s="3">
        <v>69.0</v>
      </c>
      <c r="B97" s="10" t="s">
        <v>108</v>
      </c>
      <c r="C97" s="10" t="s">
        <v>11</v>
      </c>
      <c r="D97" s="10" t="s">
        <v>11</v>
      </c>
      <c r="E97" s="3">
        <v>7.0</v>
      </c>
      <c r="F97" s="3">
        <v>5.0</v>
      </c>
      <c r="G97" s="3">
        <v>5.0</v>
      </c>
      <c r="H97" s="3">
        <v>1.0</v>
      </c>
      <c r="I97" s="11">
        <f t="shared" si="1"/>
        <v>12</v>
      </c>
      <c r="J97" s="3">
        <v>80.0</v>
      </c>
    </row>
    <row r="98" ht="15.75" customHeight="1">
      <c r="A98" s="3">
        <v>95.0</v>
      </c>
      <c r="B98" s="10" t="s">
        <v>109</v>
      </c>
      <c r="C98" s="10" t="s">
        <v>11</v>
      </c>
      <c r="D98" s="10" t="s">
        <v>11</v>
      </c>
      <c r="E98" s="3">
        <v>6.0</v>
      </c>
      <c r="F98" s="3">
        <v>6.0</v>
      </c>
      <c r="G98" s="3">
        <v>5.0</v>
      </c>
      <c r="H98" s="3">
        <v>-1.0</v>
      </c>
      <c r="I98" s="11">
        <f t="shared" si="1"/>
        <v>12</v>
      </c>
      <c r="J98" s="3">
        <v>60.0</v>
      </c>
    </row>
    <row r="99" ht="15.75" customHeight="1">
      <c r="A99" s="3">
        <v>101.0</v>
      </c>
      <c r="B99" s="12" t="s">
        <v>110</v>
      </c>
      <c r="C99" s="12" t="s">
        <v>11</v>
      </c>
      <c r="D99" s="12" t="s">
        <v>11</v>
      </c>
      <c r="E99" s="13">
        <v>8.0</v>
      </c>
      <c r="F99" s="13">
        <v>8.0</v>
      </c>
      <c r="G99" s="13">
        <v>5.0</v>
      </c>
      <c r="H99" s="13">
        <v>1.0</v>
      </c>
      <c r="I99" s="14">
        <f t="shared" si="1"/>
        <v>16</v>
      </c>
      <c r="J99" s="13">
        <v>100.0</v>
      </c>
    </row>
    <row r="100" ht="15.75" customHeight="1">
      <c r="A100" s="3">
        <v>103.0</v>
      </c>
      <c r="B100" s="10" t="s">
        <v>111</v>
      </c>
      <c r="C100" s="10" t="s">
        <v>11</v>
      </c>
      <c r="D100" s="10" t="s">
        <v>11</v>
      </c>
      <c r="E100" s="3">
        <v>4.0</v>
      </c>
      <c r="F100" s="3">
        <v>5.0</v>
      </c>
      <c r="G100" s="3">
        <v>5.0</v>
      </c>
      <c r="H100" s="3">
        <v>-1.0</v>
      </c>
      <c r="I100" s="11">
        <f t="shared" si="1"/>
        <v>9</v>
      </c>
      <c r="J100" s="3">
        <v>50.0</v>
      </c>
    </row>
    <row r="101" ht="15.75" customHeight="1">
      <c r="A101" s="3">
        <v>143.0</v>
      </c>
      <c r="B101" s="17" t="s">
        <v>112</v>
      </c>
      <c r="C101" s="18" t="s">
        <v>11</v>
      </c>
      <c r="D101" s="18" t="s">
        <v>11</v>
      </c>
      <c r="E101" s="18">
        <v>7.0</v>
      </c>
      <c r="F101" s="18">
        <v>7.0</v>
      </c>
      <c r="G101" s="18">
        <v>5.0</v>
      </c>
      <c r="H101" s="18">
        <v>1.0</v>
      </c>
      <c r="I101" s="14">
        <f t="shared" si="1"/>
        <v>14</v>
      </c>
      <c r="J101" s="18">
        <v>80.0</v>
      </c>
    </row>
    <row r="102" ht="15.75" customHeight="1">
      <c r="A102" s="3">
        <v>11.0</v>
      </c>
      <c r="B102" s="10" t="s">
        <v>113</v>
      </c>
      <c r="C102" s="10" t="s">
        <v>11</v>
      </c>
      <c r="D102" s="10" t="s">
        <v>14</v>
      </c>
      <c r="E102" s="3">
        <v>7.0</v>
      </c>
      <c r="F102" s="3">
        <v>7.0</v>
      </c>
      <c r="G102" s="3">
        <v>5.0</v>
      </c>
      <c r="H102" s="3">
        <v>-1.0</v>
      </c>
      <c r="I102" s="11">
        <f t="shared" si="1"/>
        <v>14</v>
      </c>
      <c r="J102" s="3">
        <v>80.0</v>
      </c>
    </row>
    <row r="103" ht="15.75" customHeight="1">
      <c r="A103" s="3">
        <v>14.0</v>
      </c>
      <c r="B103" s="10" t="s">
        <v>114</v>
      </c>
      <c r="C103" s="10" t="s">
        <v>13</v>
      </c>
      <c r="D103" s="10" t="s">
        <v>14</v>
      </c>
      <c r="E103" s="3">
        <v>5.0</v>
      </c>
      <c r="F103" s="3">
        <v>5.0</v>
      </c>
      <c r="G103" s="3">
        <v>5.0</v>
      </c>
      <c r="H103" s="3">
        <v>-1.0</v>
      </c>
      <c r="I103" s="11">
        <f t="shared" si="1"/>
        <v>10</v>
      </c>
      <c r="J103" s="3">
        <v>50.0</v>
      </c>
    </row>
    <row r="104" ht="15.75" customHeight="1">
      <c r="A104" s="3">
        <v>15.0</v>
      </c>
      <c r="B104" s="10" t="s">
        <v>115</v>
      </c>
      <c r="C104" s="10" t="s">
        <v>13</v>
      </c>
      <c r="D104" s="10" t="s">
        <v>14</v>
      </c>
      <c r="E104" s="3">
        <v>7.0</v>
      </c>
      <c r="F104" s="3">
        <v>7.0</v>
      </c>
      <c r="G104" s="3">
        <v>5.0</v>
      </c>
      <c r="H104" s="3">
        <v>1.0</v>
      </c>
      <c r="I104" s="11">
        <f t="shared" si="1"/>
        <v>14</v>
      </c>
      <c r="J104" s="3">
        <v>80.0</v>
      </c>
    </row>
    <row r="105" ht="15.75" customHeight="1">
      <c r="A105" s="3">
        <v>20.0</v>
      </c>
      <c r="B105" s="12" t="s">
        <v>116</v>
      </c>
      <c r="C105" s="12" t="s">
        <v>11</v>
      </c>
      <c r="D105" s="12" t="s">
        <v>14</v>
      </c>
      <c r="E105" s="13">
        <v>9.0</v>
      </c>
      <c r="F105" s="13">
        <v>9.0</v>
      </c>
      <c r="G105" s="13">
        <v>5.0</v>
      </c>
      <c r="H105" s="13">
        <v>1.0</v>
      </c>
      <c r="I105" s="14">
        <f t="shared" si="1"/>
        <v>18</v>
      </c>
      <c r="J105" s="13">
        <v>120.0</v>
      </c>
    </row>
    <row r="106" ht="15.75" customHeight="1">
      <c r="A106" s="19">
        <v>30.0</v>
      </c>
      <c r="B106" s="20" t="s">
        <v>117</v>
      </c>
      <c r="C106" s="20" t="s">
        <v>13</v>
      </c>
      <c r="D106" s="20" t="s">
        <v>14</v>
      </c>
      <c r="E106" s="19">
        <v>9.0</v>
      </c>
      <c r="F106" s="19">
        <v>8.0</v>
      </c>
      <c r="G106" s="19">
        <v>5.0</v>
      </c>
      <c r="H106" s="19">
        <v>1.0</v>
      </c>
      <c r="I106" s="21">
        <f t="shared" si="1"/>
        <v>17</v>
      </c>
      <c r="J106" s="19">
        <v>120.0</v>
      </c>
      <c r="K106" s="22"/>
    </row>
    <row r="107" ht="15.75" customHeight="1">
      <c r="A107" s="3">
        <v>48.0</v>
      </c>
      <c r="B107" s="10" t="s">
        <v>118</v>
      </c>
      <c r="C107" s="10" t="s">
        <v>11</v>
      </c>
      <c r="D107" s="10" t="s">
        <v>14</v>
      </c>
      <c r="E107" s="3">
        <v>8.0</v>
      </c>
      <c r="F107" s="3">
        <v>8.0</v>
      </c>
      <c r="G107" s="3">
        <v>5.0</v>
      </c>
      <c r="H107" s="3">
        <v>-1.0</v>
      </c>
      <c r="I107" s="11">
        <f t="shared" si="1"/>
        <v>16</v>
      </c>
      <c r="J107" s="3">
        <v>100.0</v>
      </c>
    </row>
    <row r="108" ht="15.75" customHeight="1">
      <c r="A108" s="3">
        <v>49.0</v>
      </c>
      <c r="B108" s="10" t="s">
        <v>119</v>
      </c>
      <c r="C108" s="10" t="s">
        <v>13</v>
      </c>
      <c r="D108" s="10" t="s">
        <v>14</v>
      </c>
      <c r="E108" s="3">
        <v>8.0</v>
      </c>
      <c r="F108" s="3">
        <v>8.0</v>
      </c>
      <c r="G108" s="3">
        <v>5.0</v>
      </c>
      <c r="H108" s="3">
        <v>1.0</v>
      </c>
      <c r="I108" s="11">
        <f t="shared" si="1"/>
        <v>16</v>
      </c>
      <c r="J108" s="3">
        <v>100.0</v>
      </c>
    </row>
    <row r="109" ht="15.75" customHeight="1">
      <c r="A109" s="3">
        <v>50.0</v>
      </c>
      <c r="B109" s="10" t="s">
        <v>120</v>
      </c>
      <c r="C109" s="10" t="s">
        <v>11</v>
      </c>
      <c r="D109" s="10" t="s">
        <v>14</v>
      </c>
      <c r="E109" s="3">
        <v>5.0</v>
      </c>
      <c r="F109" s="3">
        <v>4.0</v>
      </c>
      <c r="G109" s="3">
        <v>5.0</v>
      </c>
      <c r="H109" s="3">
        <v>-1.0</v>
      </c>
      <c r="I109" s="11">
        <f t="shared" si="1"/>
        <v>9</v>
      </c>
      <c r="J109" s="3">
        <v>40.0</v>
      </c>
    </row>
    <row r="110" ht="15.75" customHeight="1">
      <c r="A110" s="3">
        <v>54.0</v>
      </c>
      <c r="B110" s="10" t="s">
        <v>121</v>
      </c>
      <c r="C110" s="10" t="s">
        <v>13</v>
      </c>
      <c r="D110" s="10" t="s">
        <v>14</v>
      </c>
      <c r="E110" s="3">
        <v>7.0</v>
      </c>
      <c r="F110" s="3">
        <v>6.0</v>
      </c>
      <c r="G110" s="3">
        <v>5.0</v>
      </c>
      <c r="H110" s="3">
        <v>-1.0</v>
      </c>
      <c r="I110" s="11">
        <f t="shared" si="1"/>
        <v>13</v>
      </c>
      <c r="J110" s="3">
        <v>80.0</v>
      </c>
    </row>
    <row r="111" ht="15.75" customHeight="1">
      <c r="A111" s="3">
        <v>55.0</v>
      </c>
      <c r="B111" s="10" t="s">
        <v>122</v>
      </c>
      <c r="C111" s="10" t="s">
        <v>11</v>
      </c>
      <c r="D111" s="10" t="s">
        <v>14</v>
      </c>
      <c r="E111" s="3">
        <v>7.0</v>
      </c>
      <c r="F111" s="3">
        <v>5.0</v>
      </c>
      <c r="G111" s="3">
        <v>5.0</v>
      </c>
      <c r="H111" s="3">
        <v>1.0</v>
      </c>
      <c r="I111" s="11">
        <f t="shared" si="1"/>
        <v>12</v>
      </c>
      <c r="J111" s="3">
        <v>80.0</v>
      </c>
    </row>
    <row r="112" ht="15.75" customHeight="1">
      <c r="A112" s="3">
        <v>67.0</v>
      </c>
      <c r="B112" s="10" t="s">
        <v>123</v>
      </c>
      <c r="C112" s="10" t="s">
        <v>11</v>
      </c>
      <c r="D112" s="10" t="s">
        <v>14</v>
      </c>
      <c r="E112" s="3">
        <v>7.0</v>
      </c>
      <c r="F112" s="3">
        <v>8.0</v>
      </c>
      <c r="G112" s="3">
        <v>5.0</v>
      </c>
      <c r="H112" s="3">
        <v>1.0</v>
      </c>
      <c r="I112" s="11">
        <f t="shared" si="1"/>
        <v>15</v>
      </c>
      <c r="J112" s="3">
        <v>80.0</v>
      </c>
    </row>
    <row r="113" ht="15.75" customHeight="1">
      <c r="A113" s="3">
        <v>79.0</v>
      </c>
      <c r="B113" s="10" t="s">
        <v>124</v>
      </c>
      <c r="C113" s="10" t="s">
        <v>11</v>
      </c>
      <c r="D113" s="10" t="s">
        <v>14</v>
      </c>
      <c r="E113" s="3">
        <v>5.0</v>
      </c>
      <c r="F113" s="3">
        <v>6.0</v>
      </c>
      <c r="G113" s="3">
        <v>5.0</v>
      </c>
      <c r="H113" s="3">
        <v>1.0</v>
      </c>
      <c r="I113" s="11">
        <f t="shared" si="1"/>
        <v>11</v>
      </c>
      <c r="J113" s="3">
        <v>60.0</v>
      </c>
    </row>
    <row r="114" ht="15.75" customHeight="1">
      <c r="A114" s="3">
        <v>86.0</v>
      </c>
      <c r="B114" s="10" t="s">
        <v>125</v>
      </c>
      <c r="C114" s="10" t="s">
        <v>11</v>
      </c>
      <c r="D114" s="10" t="s">
        <v>14</v>
      </c>
      <c r="E114" s="3">
        <v>8.0</v>
      </c>
      <c r="F114" s="3">
        <v>7.0</v>
      </c>
      <c r="G114" s="3">
        <v>5.0</v>
      </c>
      <c r="H114" s="3">
        <v>1.0</v>
      </c>
      <c r="I114" s="11">
        <f t="shared" si="1"/>
        <v>15</v>
      </c>
      <c r="J114" s="3">
        <v>80.0</v>
      </c>
    </row>
    <row r="115" ht="15.75" customHeight="1">
      <c r="A115" s="3">
        <v>105.0</v>
      </c>
      <c r="B115" s="10" t="s">
        <v>126</v>
      </c>
      <c r="C115" s="10" t="s">
        <v>11</v>
      </c>
      <c r="D115" s="10" t="s">
        <v>14</v>
      </c>
      <c r="E115" s="3">
        <v>4.0</v>
      </c>
      <c r="F115" s="3">
        <v>4.0</v>
      </c>
      <c r="G115" s="3">
        <v>5.0</v>
      </c>
      <c r="H115" s="3">
        <v>-1.0</v>
      </c>
      <c r="I115" s="11">
        <f t="shared" si="1"/>
        <v>8</v>
      </c>
      <c r="J115" s="3">
        <v>40.0</v>
      </c>
    </row>
    <row r="116" ht="15.75" customHeight="1">
      <c r="A116" s="3">
        <v>107.0</v>
      </c>
      <c r="B116" s="10" t="s">
        <v>127</v>
      </c>
      <c r="C116" s="10" t="s">
        <v>11</v>
      </c>
      <c r="D116" s="10" t="s">
        <v>14</v>
      </c>
      <c r="E116" s="3">
        <v>6.0</v>
      </c>
      <c r="F116" s="3">
        <v>4.0</v>
      </c>
      <c r="G116" s="3">
        <v>5.0</v>
      </c>
      <c r="H116" s="3">
        <v>-1.0</v>
      </c>
      <c r="I116" s="11">
        <f t="shared" si="1"/>
        <v>10</v>
      </c>
      <c r="J116" s="3">
        <v>50.0</v>
      </c>
    </row>
    <row r="117" ht="15.75" customHeight="1">
      <c r="A117" s="3">
        <v>115.0</v>
      </c>
      <c r="B117" s="10" t="s">
        <v>128</v>
      </c>
      <c r="C117" s="10" t="s">
        <v>11</v>
      </c>
      <c r="D117" s="10" t="s">
        <v>14</v>
      </c>
      <c r="E117" s="3">
        <v>5.0</v>
      </c>
      <c r="F117" s="3">
        <v>5.0</v>
      </c>
      <c r="G117" s="3">
        <v>5.0</v>
      </c>
      <c r="H117" s="3">
        <v>1.0</v>
      </c>
      <c r="I117" s="11">
        <f t="shared" si="1"/>
        <v>10</v>
      </c>
      <c r="J117" s="3">
        <v>50.0</v>
      </c>
    </row>
    <row r="118" ht="15.75" customHeight="1">
      <c r="A118" s="3">
        <v>118.0</v>
      </c>
      <c r="B118" s="10" t="s">
        <v>129</v>
      </c>
      <c r="C118" s="10" t="s">
        <v>11</v>
      </c>
      <c r="D118" s="10" t="s">
        <v>14</v>
      </c>
      <c r="E118" s="3">
        <v>5.0</v>
      </c>
      <c r="F118" s="3">
        <v>5.0</v>
      </c>
      <c r="G118" s="3">
        <v>5.0</v>
      </c>
      <c r="H118" s="3">
        <v>1.0</v>
      </c>
      <c r="I118" s="11">
        <f t="shared" si="1"/>
        <v>10</v>
      </c>
      <c r="J118" s="3">
        <v>60.0</v>
      </c>
    </row>
    <row r="119" ht="15.75" customHeight="1">
      <c r="A119" s="3">
        <v>120.0</v>
      </c>
      <c r="B119" s="10" t="s">
        <v>130</v>
      </c>
      <c r="C119" s="10" t="s">
        <v>13</v>
      </c>
      <c r="D119" s="10" t="s">
        <v>14</v>
      </c>
      <c r="E119" s="3">
        <v>6.0</v>
      </c>
      <c r="F119" s="3">
        <v>6.0</v>
      </c>
      <c r="G119" s="3">
        <v>5.0</v>
      </c>
      <c r="H119" s="3">
        <v>-1.0</v>
      </c>
      <c r="I119" s="11">
        <f t="shared" si="1"/>
        <v>12</v>
      </c>
      <c r="J119" s="3">
        <v>60.0</v>
      </c>
    </row>
    <row r="120" ht="15.75" customHeight="1">
      <c r="A120" s="3">
        <v>128.0</v>
      </c>
      <c r="B120" s="10" t="s">
        <v>131</v>
      </c>
      <c r="C120" s="10" t="s">
        <v>13</v>
      </c>
      <c r="D120" s="10" t="s">
        <v>14</v>
      </c>
      <c r="E120" s="3">
        <v>4.0</v>
      </c>
      <c r="F120" s="3">
        <v>4.0</v>
      </c>
      <c r="G120" s="3">
        <v>5.0</v>
      </c>
      <c r="H120" s="3">
        <v>1.0</v>
      </c>
      <c r="I120" s="11">
        <f t="shared" si="1"/>
        <v>8</v>
      </c>
      <c r="J120" s="3">
        <v>40.0</v>
      </c>
    </row>
    <row r="121" ht="15.75" customHeight="1">
      <c r="A121" s="3">
        <v>129.0</v>
      </c>
      <c r="B121" s="10" t="s">
        <v>132</v>
      </c>
      <c r="C121" s="10" t="s">
        <v>11</v>
      </c>
      <c r="D121" s="10" t="s">
        <v>14</v>
      </c>
      <c r="E121" s="3">
        <v>6.0</v>
      </c>
      <c r="F121" s="3">
        <v>5.0</v>
      </c>
      <c r="G121" s="3">
        <v>5.0</v>
      </c>
      <c r="H121" s="3">
        <v>-1.0</v>
      </c>
      <c r="I121" s="11">
        <f t="shared" si="1"/>
        <v>11</v>
      </c>
      <c r="J121" s="3">
        <v>60.0</v>
      </c>
    </row>
    <row r="122" ht="15.75" customHeight="1">
      <c r="A122" s="3">
        <v>136.0</v>
      </c>
      <c r="B122" s="8" t="s">
        <v>133</v>
      </c>
      <c r="C122" s="8" t="s">
        <v>13</v>
      </c>
      <c r="D122" s="8" t="s">
        <v>14</v>
      </c>
      <c r="E122" s="7">
        <v>9.0</v>
      </c>
      <c r="F122" s="7">
        <v>9.0</v>
      </c>
      <c r="G122" s="7">
        <v>5.0</v>
      </c>
      <c r="H122" s="7">
        <v>1.0</v>
      </c>
      <c r="I122" s="9">
        <f t="shared" si="1"/>
        <v>18</v>
      </c>
      <c r="J122" s="7">
        <v>120.0</v>
      </c>
    </row>
    <row r="123" ht="15.75" customHeight="1">
      <c r="A123" s="3">
        <v>138.0</v>
      </c>
      <c r="B123" s="10" t="s">
        <v>134</v>
      </c>
      <c r="C123" s="10" t="s">
        <v>13</v>
      </c>
      <c r="D123" s="10" t="s">
        <v>14</v>
      </c>
      <c r="E123" s="3">
        <v>6.0</v>
      </c>
      <c r="F123" s="3">
        <v>6.0</v>
      </c>
      <c r="G123" s="3">
        <v>5.0</v>
      </c>
      <c r="H123" s="3">
        <v>-1.0</v>
      </c>
      <c r="I123" s="11">
        <f t="shared" si="1"/>
        <v>12</v>
      </c>
      <c r="J123" s="3">
        <v>60.0</v>
      </c>
    </row>
    <row r="124" ht="15.75" customHeight="1">
      <c r="A124" s="3">
        <v>139.0</v>
      </c>
      <c r="B124" s="10" t="s">
        <v>135</v>
      </c>
      <c r="C124" s="10" t="s">
        <v>13</v>
      </c>
      <c r="D124" s="10" t="s">
        <v>14</v>
      </c>
      <c r="E124" s="3">
        <v>5.0</v>
      </c>
      <c r="F124" s="3">
        <v>4.0</v>
      </c>
      <c r="G124" s="3">
        <v>5.0</v>
      </c>
      <c r="H124" s="3">
        <v>-1.0</v>
      </c>
      <c r="I124" s="11">
        <f t="shared" si="1"/>
        <v>9</v>
      </c>
      <c r="J124" s="3">
        <v>50.0</v>
      </c>
    </row>
    <row r="125" ht="15.75" customHeight="1">
      <c r="A125" s="3">
        <v>142.0</v>
      </c>
      <c r="B125" s="10" t="s">
        <v>136</v>
      </c>
      <c r="C125" s="10" t="s">
        <v>11</v>
      </c>
      <c r="D125" s="10" t="s">
        <v>14</v>
      </c>
      <c r="E125" s="3">
        <v>7.0</v>
      </c>
      <c r="F125" s="3">
        <v>7.0</v>
      </c>
      <c r="G125" s="3">
        <v>5.0</v>
      </c>
      <c r="H125" s="3">
        <v>-1.0</v>
      </c>
      <c r="I125" s="11">
        <f t="shared" si="1"/>
        <v>14</v>
      </c>
      <c r="J125" s="3">
        <v>80.0</v>
      </c>
    </row>
    <row r="126" ht="15.75" customHeight="1">
      <c r="A126" s="3">
        <v>146.0</v>
      </c>
      <c r="B126" s="10" t="s">
        <v>137</v>
      </c>
      <c r="C126" s="10" t="s">
        <v>11</v>
      </c>
      <c r="D126" s="10" t="s">
        <v>14</v>
      </c>
      <c r="E126" s="3">
        <v>7.0</v>
      </c>
      <c r="F126" s="3">
        <v>8.0</v>
      </c>
      <c r="G126" s="3">
        <v>5.0</v>
      </c>
      <c r="H126" s="3">
        <v>1.0</v>
      </c>
      <c r="I126" s="11">
        <f t="shared" si="1"/>
        <v>15</v>
      </c>
      <c r="J126" s="3">
        <v>100.0</v>
      </c>
    </row>
    <row r="127" ht="15.75" customHeight="1">
      <c r="A127" s="3">
        <v>149.0</v>
      </c>
      <c r="B127" s="10" t="s">
        <v>138</v>
      </c>
      <c r="C127" s="10" t="s">
        <v>11</v>
      </c>
      <c r="D127" s="10" t="s">
        <v>14</v>
      </c>
      <c r="E127" s="3">
        <v>10.0</v>
      </c>
      <c r="F127" s="3">
        <v>8.0</v>
      </c>
      <c r="G127" s="3">
        <v>5.0</v>
      </c>
      <c r="H127" s="3">
        <v>1.0</v>
      </c>
      <c r="I127" s="11">
        <f t="shared" si="1"/>
        <v>18</v>
      </c>
      <c r="J127" s="3">
        <v>100.0</v>
      </c>
    </row>
    <row r="128" ht="15.75" customHeight="1">
      <c r="A128" s="3">
        <v>150.0</v>
      </c>
      <c r="B128" s="10" t="s">
        <v>139</v>
      </c>
      <c r="C128" s="10" t="s">
        <v>11</v>
      </c>
      <c r="D128" s="10" t="s">
        <v>14</v>
      </c>
      <c r="E128" s="3">
        <v>7.0</v>
      </c>
      <c r="F128" s="3">
        <v>6.0</v>
      </c>
      <c r="G128" s="3">
        <v>5.0</v>
      </c>
      <c r="H128" s="3">
        <v>1.0</v>
      </c>
      <c r="I128" s="11">
        <f t="shared" si="1"/>
        <v>13</v>
      </c>
      <c r="J128" s="3">
        <v>80.0</v>
      </c>
    </row>
    <row r="129" ht="15.75" customHeight="1">
      <c r="A129" s="3">
        <v>152.0</v>
      </c>
      <c r="B129" s="10" t="s">
        <v>140</v>
      </c>
      <c r="C129" s="10" t="s">
        <v>11</v>
      </c>
      <c r="D129" s="10" t="s">
        <v>14</v>
      </c>
      <c r="E129" s="3">
        <v>6.0</v>
      </c>
      <c r="F129" s="3">
        <v>7.0</v>
      </c>
      <c r="G129" s="3">
        <v>5.0</v>
      </c>
      <c r="H129" s="3">
        <v>1.0</v>
      </c>
      <c r="I129" s="11">
        <f t="shared" si="1"/>
        <v>13</v>
      </c>
      <c r="J129" s="3">
        <v>60.0</v>
      </c>
    </row>
    <row r="130" ht="15.75" customHeight="1">
      <c r="A130" s="7">
        <v>160.0</v>
      </c>
      <c r="B130" s="8" t="s">
        <v>141</v>
      </c>
      <c r="C130" s="8" t="s">
        <v>13</v>
      </c>
      <c r="D130" s="8" t="s">
        <v>14</v>
      </c>
      <c r="E130" s="7">
        <v>7.0</v>
      </c>
      <c r="F130" s="7">
        <v>7.0</v>
      </c>
      <c r="G130" s="7">
        <v>5.0</v>
      </c>
      <c r="H130" s="7">
        <v>1.0</v>
      </c>
      <c r="I130" s="9">
        <f t="shared" si="1"/>
        <v>14</v>
      </c>
      <c r="J130" s="7">
        <v>80.0</v>
      </c>
    </row>
    <row r="131" ht="15.75" customHeight="1">
      <c r="A131" s="3">
        <v>71.0</v>
      </c>
      <c r="B131" s="10" t="s">
        <v>142</v>
      </c>
      <c r="C131" s="10" t="s">
        <v>13</v>
      </c>
      <c r="D131" s="10" t="s">
        <v>11</v>
      </c>
      <c r="E131" s="3">
        <v>9.0</v>
      </c>
      <c r="F131" s="3">
        <v>8.0</v>
      </c>
      <c r="G131" s="3">
        <v>6.0</v>
      </c>
      <c r="H131" s="3">
        <v>1.0</v>
      </c>
      <c r="I131" s="11">
        <f t="shared" si="1"/>
        <v>17</v>
      </c>
      <c r="J131" s="3">
        <v>120.0</v>
      </c>
    </row>
    <row r="132" ht="15.75" customHeight="1">
      <c r="A132" s="3">
        <v>6.0</v>
      </c>
      <c r="B132" s="10" t="s">
        <v>143</v>
      </c>
      <c r="C132" s="10" t="s">
        <v>11</v>
      </c>
      <c r="D132" s="10" t="s">
        <v>14</v>
      </c>
      <c r="E132" s="3">
        <v>5.0</v>
      </c>
      <c r="F132" s="3">
        <v>6.0</v>
      </c>
      <c r="G132" s="3">
        <v>6.0</v>
      </c>
      <c r="H132" s="3">
        <v>1.0</v>
      </c>
      <c r="I132" s="11">
        <f t="shared" si="1"/>
        <v>11</v>
      </c>
      <c r="J132" s="3">
        <v>60.0</v>
      </c>
    </row>
    <row r="133" ht="17.25" customHeight="1">
      <c r="A133" s="3">
        <v>16.0</v>
      </c>
      <c r="B133" s="10" t="s">
        <v>144</v>
      </c>
      <c r="C133" s="10" t="s">
        <v>11</v>
      </c>
      <c r="D133" s="10" t="s">
        <v>14</v>
      </c>
      <c r="E133" s="3">
        <v>7.0</v>
      </c>
      <c r="F133" s="3">
        <v>7.0</v>
      </c>
      <c r="G133" s="3">
        <v>6.0</v>
      </c>
      <c r="H133" s="3">
        <v>-1.0</v>
      </c>
      <c r="I133" s="11">
        <f t="shared" si="1"/>
        <v>14</v>
      </c>
      <c r="J133" s="3">
        <v>80.0</v>
      </c>
    </row>
    <row r="134" ht="15.75" customHeight="1">
      <c r="A134" s="3">
        <v>18.0</v>
      </c>
      <c r="B134" s="10" t="s">
        <v>145</v>
      </c>
      <c r="C134" s="10" t="s">
        <v>11</v>
      </c>
      <c r="D134" s="10" t="s">
        <v>14</v>
      </c>
      <c r="E134" s="3">
        <v>8.0</v>
      </c>
      <c r="F134" s="3">
        <v>8.0</v>
      </c>
      <c r="G134" s="3">
        <v>6.0</v>
      </c>
      <c r="H134" s="3">
        <v>-1.0</v>
      </c>
      <c r="I134" s="11">
        <f t="shared" si="1"/>
        <v>16</v>
      </c>
      <c r="J134" s="3">
        <v>100.0</v>
      </c>
    </row>
    <row r="135" ht="15.75" customHeight="1">
      <c r="A135" s="3">
        <v>22.0</v>
      </c>
      <c r="B135" s="12" t="s">
        <v>146</v>
      </c>
      <c r="C135" s="12" t="s">
        <v>11</v>
      </c>
      <c r="D135" s="12" t="s">
        <v>14</v>
      </c>
      <c r="E135" s="13">
        <v>9.0</v>
      </c>
      <c r="F135" s="13">
        <v>6.0</v>
      </c>
      <c r="G135" s="13">
        <v>6.0</v>
      </c>
      <c r="H135" s="13">
        <v>1.0</v>
      </c>
      <c r="I135" s="14">
        <f t="shared" si="1"/>
        <v>15</v>
      </c>
      <c r="J135" s="13">
        <v>80.0</v>
      </c>
    </row>
    <row r="136" ht="15.75" customHeight="1">
      <c r="A136" s="3">
        <v>28.0</v>
      </c>
      <c r="B136" s="10" t="s">
        <v>147</v>
      </c>
      <c r="C136" s="10" t="s">
        <v>11</v>
      </c>
      <c r="D136" s="10" t="s">
        <v>14</v>
      </c>
      <c r="E136" s="3">
        <v>8.0</v>
      </c>
      <c r="F136" s="3">
        <v>9.0</v>
      </c>
      <c r="G136" s="3">
        <v>6.0</v>
      </c>
      <c r="H136" s="3">
        <v>1.0</v>
      </c>
      <c r="I136" s="11">
        <f t="shared" si="1"/>
        <v>17</v>
      </c>
      <c r="J136" s="3">
        <v>100.0</v>
      </c>
    </row>
    <row r="137" ht="15.75" customHeight="1">
      <c r="A137" s="3">
        <v>35.0</v>
      </c>
      <c r="B137" s="10" t="s">
        <v>148</v>
      </c>
      <c r="C137" s="10" t="s">
        <v>11</v>
      </c>
      <c r="D137" s="10" t="s">
        <v>14</v>
      </c>
      <c r="E137" s="3">
        <v>7.0</v>
      </c>
      <c r="F137" s="3">
        <v>7.0</v>
      </c>
      <c r="G137" s="3">
        <v>6.0</v>
      </c>
      <c r="H137" s="3">
        <v>1.0</v>
      </c>
      <c r="I137" s="11">
        <f t="shared" si="1"/>
        <v>14</v>
      </c>
      <c r="J137" s="3">
        <v>80.0</v>
      </c>
    </row>
    <row r="138" ht="15.75" customHeight="1">
      <c r="A138" s="3">
        <v>36.0</v>
      </c>
      <c r="B138" s="10" t="s">
        <v>149</v>
      </c>
      <c r="C138" s="10" t="s">
        <v>11</v>
      </c>
      <c r="D138" s="10" t="s">
        <v>14</v>
      </c>
      <c r="E138" s="3">
        <v>6.0</v>
      </c>
      <c r="F138" s="3">
        <v>6.0</v>
      </c>
      <c r="G138" s="3">
        <v>6.0</v>
      </c>
      <c r="H138" s="3">
        <v>1.0</v>
      </c>
      <c r="I138" s="11">
        <f t="shared" si="1"/>
        <v>12</v>
      </c>
      <c r="J138" s="3">
        <v>60.0</v>
      </c>
    </row>
    <row r="139" ht="15.75" customHeight="1">
      <c r="A139" s="3">
        <v>44.0</v>
      </c>
      <c r="B139" s="10" t="s">
        <v>150</v>
      </c>
      <c r="C139" s="10" t="s">
        <v>11</v>
      </c>
      <c r="D139" s="10" t="s">
        <v>14</v>
      </c>
      <c r="E139" s="3">
        <v>7.0</v>
      </c>
      <c r="F139" s="3">
        <v>7.0</v>
      </c>
      <c r="G139" s="3">
        <v>6.0</v>
      </c>
      <c r="H139" s="3">
        <v>-1.0</v>
      </c>
      <c r="I139" s="11">
        <f t="shared" si="1"/>
        <v>14</v>
      </c>
      <c r="J139" s="3">
        <v>80.0</v>
      </c>
    </row>
    <row r="140" ht="15.75" customHeight="1">
      <c r="A140" s="3">
        <v>60.0</v>
      </c>
      <c r="B140" s="10" t="s">
        <v>151</v>
      </c>
      <c r="C140" s="10" t="s">
        <v>11</v>
      </c>
      <c r="D140" s="10" t="s">
        <v>14</v>
      </c>
      <c r="E140" s="3">
        <v>8.0</v>
      </c>
      <c r="F140" s="3">
        <v>7.0</v>
      </c>
      <c r="G140" s="3">
        <v>6.0</v>
      </c>
      <c r="H140" s="3">
        <v>-1.0</v>
      </c>
      <c r="I140" s="11">
        <f t="shared" si="1"/>
        <v>15</v>
      </c>
      <c r="J140" s="3">
        <v>80.0</v>
      </c>
    </row>
    <row r="141" ht="15.75" customHeight="1">
      <c r="A141" s="3">
        <v>85.0</v>
      </c>
      <c r="B141" s="10" t="s">
        <v>152</v>
      </c>
      <c r="C141" s="10" t="s">
        <v>11</v>
      </c>
      <c r="D141" s="10" t="s">
        <v>14</v>
      </c>
      <c r="E141" s="3">
        <v>4.0</v>
      </c>
      <c r="F141" s="3">
        <v>4.0</v>
      </c>
      <c r="G141" s="3">
        <v>6.0</v>
      </c>
      <c r="H141" s="3">
        <v>1.0</v>
      </c>
      <c r="I141" s="11">
        <f t="shared" si="1"/>
        <v>8</v>
      </c>
      <c r="J141" s="3">
        <v>40.0</v>
      </c>
    </row>
    <row r="142" ht="15.75" customHeight="1">
      <c r="A142" s="3">
        <v>91.0</v>
      </c>
      <c r="B142" s="10" t="s">
        <v>153</v>
      </c>
      <c r="C142" s="10" t="s">
        <v>11</v>
      </c>
      <c r="D142" s="10" t="s">
        <v>14</v>
      </c>
      <c r="E142" s="3">
        <v>8.0</v>
      </c>
      <c r="F142" s="3">
        <v>8.0</v>
      </c>
      <c r="G142" s="3">
        <v>6.0</v>
      </c>
      <c r="H142" s="3">
        <v>1.0</v>
      </c>
      <c r="I142" s="11">
        <f t="shared" si="1"/>
        <v>16</v>
      </c>
      <c r="J142" s="3">
        <v>100.0</v>
      </c>
    </row>
    <row r="143" ht="15.75" customHeight="1">
      <c r="A143" s="3">
        <v>92.0</v>
      </c>
      <c r="B143" s="10" t="s">
        <v>154</v>
      </c>
      <c r="C143" s="10" t="s">
        <v>11</v>
      </c>
      <c r="D143" s="10" t="s">
        <v>14</v>
      </c>
      <c r="E143" s="3">
        <v>4.0</v>
      </c>
      <c r="F143" s="3">
        <v>5.0</v>
      </c>
      <c r="G143" s="3">
        <v>6.0</v>
      </c>
      <c r="H143" s="3">
        <v>1.0</v>
      </c>
      <c r="I143" s="11">
        <f t="shared" si="1"/>
        <v>9</v>
      </c>
      <c r="J143" s="3">
        <v>40.0</v>
      </c>
    </row>
    <row r="144" ht="15.75" customHeight="1">
      <c r="A144" s="3">
        <v>96.0</v>
      </c>
      <c r="B144" s="10" t="s">
        <v>155</v>
      </c>
      <c r="C144" s="10" t="s">
        <v>11</v>
      </c>
      <c r="D144" s="10" t="s">
        <v>14</v>
      </c>
      <c r="E144" s="3">
        <v>7.0</v>
      </c>
      <c r="F144" s="3">
        <v>5.0</v>
      </c>
      <c r="G144" s="3">
        <v>6.0</v>
      </c>
      <c r="H144" s="3">
        <v>1.0</v>
      </c>
      <c r="I144" s="11">
        <f t="shared" si="1"/>
        <v>12</v>
      </c>
      <c r="J144" s="3">
        <v>60.0</v>
      </c>
    </row>
    <row r="145" ht="15.75" customHeight="1">
      <c r="A145" s="3">
        <v>98.0</v>
      </c>
      <c r="B145" s="10" t="s">
        <v>156</v>
      </c>
      <c r="C145" s="10" t="s">
        <v>11</v>
      </c>
      <c r="D145" s="10" t="s">
        <v>14</v>
      </c>
      <c r="E145" s="3">
        <v>6.0</v>
      </c>
      <c r="F145" s="3">
        <v>4.0</v>
      </c>
      <c r="G145" s="3">
        <v>6.0</v>
      </c>
      <c r="H145" s="3">
        <v>1.0</v>
      </c>
      <c r="I145" s="11">
        <f t="shared" si="1"/>
        <v>10</v>
      </c>
      <c r="J145" s="3">
        <v>60.0</v>
      </c>
    </row>
    <row r="146" ht="15.75" customHeight="1">
      <c r="A146" s="3">
        <v>99.0</v>
      </c>
      <c r="B146" s="10" t="s">
        <v>157</v>
      </c>
      <c r="C146" s="10" t="s">
        <v>11</v>
      </c>
      <c r="D146" s="10" t="s">
        <v>14</v>
      </c>
      <c r="E146" s="3">
        <v>9.0</v>
      </c>
      <c r="F146" s="3">
        <v>8.0</v>
      </c>
      <c r="G146" s="3">
        <v>6.0</v>
      </c>
      <c r="H146" s="3">
        <v>1.0</v>
      </c>
      <c r="I146" s="11">
        <f t="shared" si="1"/>
        <v>17</v>
      </c>
      <c r="J146" s="3">
        <v>100.0</v>
      </c>
    </row>
    <row r="147" ht="15.75" customHeight="1">
      <c r="A147" s="3">
        <v>144.0</v>
      </c>
      <c r="B147" s="10" t="s">
        <v>158</v>
      </c>
      <c r="C147" s="10" t="s">
        <v>11</v>
      </c>
      <c r="D147" s="10" t="s">
        <v>14</v>
      </c>
      <c r="E147" s="3">
        <v>6.0</v>
      </c>
      <c r="F147" s="3">
        <v>5.0</v>
      </c>
      <c r="G147" s="3">
        <v>6.0</v>
      </c>
      <c r="H147" s="3">
        <v>1.0</v>
      </c>
      <c r="I147" s="11">
        <f t="shared" si="1"/>
        <v>11</v>
      </c>
      <c r="J147" s="3">
        <v>60.0</v>
      </c>
    </row>
    <row r="148" ht="15.75" customHeight="1">
      <c r="A148" s="3">
        <v>145.0</v>
      </c>
      <c r="B148" s="10" t="s">
        <v>159</v>
      </c>
      <c r="C148" s="10" t="s">
        <v>11</v>
      </c>
      <c r="D148" s="10" t="s">
        <v>14</v>
      </c>
      <c r="E148" s="3">
        <v>6.0</v>
      </c>
      <c r="F148" s="3">
        <v>5.0</v>
      </c>
      <c r="G148" s="3">
        <v>6.0</v>
      </c>
      <c r="H148" s="3">
        <v>1.0</v>
      </c>
      <c r="I148" s="11">
        <f t="shared" si="1"/>
        <v>11</v>
      </c>
      <c r="J148" s="3">
        <v>60.0</v>
      </c>
    </row>
    <row r="149" ht="15.75" customHeight="1">
      <c r="A149" s="3">
        <v>147.0</v>
      </c>
      <c r="B149" s="10" t="s">
        <v>160</v>
      </c>
      <c r="C149" s="10" t="s">
        <v>11</v>
      </c>
      <c r="D149" s="10" t="s">
        <v>14</v>
      </c>
      <c r="E149" s="3">
        <v>4.0</v>
      </c>
      <c r="F149" s="3">
        <v>6.0</v>
      </c>
      <c r="G149" s="3">
        <v>6.0</v>
      </c>
      <c r="H149" s="3">
        <v>-1.0</v>
      </c>
      <c r="I149" s="11">
        <f t="shared" si="1"/>
        <v>10</v>
      </c>
      <c r="J149" s="3">
        <v>60.0</v>
      </c>
    </row>
    <row r="150" ht="15.75" customHeight="1">
      <c r="A150" s="3">
        <v>158.0</v>
      </c>
      <c r="B150" s="10" t="s">
        <v>161</v>
      </c>
      <c r="C150" s="10" t="s">
        <v>11</v>
      </c>
      <c r="D150" s="10" t="s">
        <v>14</v>
      </c>
      <c r="E150" s="3">
        <v>3.0</v>
      </c>
      <c r="F150" s="3">
        <v>5.0</v>
      </c>
      <c r="G150" s="3">
        <v>6.0</v>
      </c>
      <c r="H150" s="3">
        <v>-1.0</v>
      </c>
      <c r="I150" s="11">
        <f t="shared" si="1"/>
        <v>8</v>
      </c>
      <c r="J150" s="3">
        <v>40.0</v>
      </c>
    </row>
    <row r="151" ht="15.75" customHeight="1">
      <c r="A151" s="3">
        <v>41.0</v>
      </c>
      <c r="B151" s="10" t="s">
        <v>162</v>
      </c>
      <c r="C151" s="10" t="s">
        <v>11</v>
      </c>
      <c r="D151" s="10" t="s">
        <v>14</v>
      </c>
      <c r="E151" s="3">
        <v>8.0</v>
      </c>
      <c r="F151" s="3">
        <v>8.0</v>
      </c>
      <c r="G151" s="3">
        <v>7.0</v>
      </c>
      <c r="H151" s="3">
        <v>1.0</v>
      </c>
      <c r="I151" s="11">
        <f t="shared" si="1"/>
        <v>16</v>
      </c>
      <c r="J151" s="3">
        <v>100.0</v>
      </c>
    </row>
    <row r="152" ht="15.75" customHeight="1">
      <c r="A152" s="3">
        <v>42.0</v>
      </c>
      <c r="B152" s="10" t="s">
        <v>163</v>
      </c>
      <c r="C152" s="10" t="s">
        <v>11</v>
      </c>
      <c r="D152" s="10" t="s">
        <v>14</v>
      </c>
      <c r="E152" s="3">
        <v>8.0</v>
      </c>
      <c r="F152" s="3">
        <v>5.0</v>
      </c>
      <c r="G152" s="3">
        <v>7.0</v>
      </c>
      <c r="H152" s="3">
        <v>1.0</v>
      </c>
      <c r="I152" s="11">
        <f t="shared" si="1"/>
        <v>13</v>
      </c>
      <c r="J152" s="3">
        <v>60.0</v>
      </c>
    </row>
    <row r="153" ht="15.75" customHeight="1">
      <c r="A153" s="3">
        <v>57.0</v>
      </c>
      <c r="B153" s="10" t="s">
        <v>164</v>
      </c>
      <c r="C153" s="10" t="s">
        <v>11</v>
      </c>
      <c r="D153" s="10" t="s">
        <v>14</v>
      </c>
      <c r="E153" s="3">
        <v>8.0</v>
      </c>
      <c r="F153" s="3">
        <v>9.0</v>
      </c>
      <c r="G153" s="3">
        <v>7.0</v>
      </c>
      <c r="H153" s="3">
        <v>-1.0</v>
      </c>
      <c r="I153" s="11">
        <f t="shared" si="1"/>
        <v>17</v>
      </c>
      <c r="J153" s="3">
        <v>100.0</v>
      </c>
    </row>
    <row r="154" ht="15.75" customHeight="1">
      <c r="A154" s="3">
        <v>121.0</v>
      </c>
      <c r="B154" s="10" t="s">
        <v>165</v>
      </c>
      <c r="C154" s="10" t="s">
        <v>11</v>
      </c>
      <c r="D154" s="10" t="s">
        <v>14</v>
      </c>
      <c r="E154" s="3">
        <v>8.0</v>
      </c>
      <c r="F154" s="3">
        <v>8.0</v>
      </c>
      <c r="G154" s="3">
        <v>7.0</v>
      </c>
      <c r="H154" s="3">
        <v>-1.0</v>
      </c>
      <c r="I154" s="11">
        <f t="shared" si="1"/>
        <v>16</v>
      </c>
      <c r="J154" s="3">
        <v>100.0</v>
      </c>
    </row>
    <row r="155" ht="15.75" customHeight="1">
      <c r="A155" s="3">
        <v>122.0</v>
      </c>
      <c r="B155" s="10" t="s">
        <v>166</v>
      </c>
      <c r="C155" s="10" t="s">
        <v>11</v>
      </c>
      <c r="D155" s="10" t="s">
        <v>14</v>
      </c>
      <c r="E155" s="3">
        <v>7.0</v>
      </c>
      <c r="F155" s="3">
        <v>8.0</v>
      </c>
      <c r="G155" s="3">
        <v>7.0</v>
      </c>
      <c r="H155" s="3">
        <v>1.0</v>
      </c>
      <c r="I155" s="11">
        <f t="shared" si="1"/>
        <v>15</v>
      </c>
      <c r="J155" s="3">
        <v>80.0</v>
      </c>
    </row>
    <row r="156" ht="15.75" customHeight="1">
      <c r="A156" s="3">
        <v>133.0</v>
      </c>
      <c r="B156" s="10" t="s">
        <v>167</v>
      </c>
      <c r="C156" s="10" t="s">
        <v>11</v>
      </c>
      <c r="D156" s="10" t="s">
        <v>14</v>
      </c>
      <c r="E156" s="3">
        <v>6.0</v>
      </c>
      <c r="F156" s="3">
        <v>7.0</v>
      </c>
      <c r="G156" s="3">
        <v>7.0</v>
      </c>
      <c r="H156" s="3">
        <v>1.0</v>
      </c>
      <c r="I156" s="11">
        <f t="shared" si="1"/>
        <v>13</v>
      </c>
      <c r="J156" s="3">
        <v>60.0</v>
      </c>
    </row>
    <row r="157" ht="15.75" customHeight="1">
      <c r="A157" s="3">
        <v>140.0</v>
      </c>
      <c r="B157" s="10" t="s">
        <v>168</v>
      </c>
      <c r="C157" s="10" t="s">
        <v>11</v>
      </c>
      <c r="D157" s="10" t="s">
        <v>14</v>
      </c>
      <c r="E157" s="3">
        <v>7.0</v>
      </c>
      <c r="F157" s="3">
        <v>7.0</v>
      </c>
      <c r="G157" s="3">
        <v>7.0</v>
      </c>
      <c r="H157" s="3">
        <v>1.0</v>
      </c>
      <c r="I157" s="11">
        <f t="shared" si="1"/>
        <v>14</v>
      </c>
      <c r="J157" s="3">
        <v>80.0</v>
      </c>
    </row>
    <row r="158" ht="15.75" customHeight="1">
      <c r="A158" s="3">
        <v>88.0</v>
      </c>
      <c r="B158" s="10" t="s">
        <v>169</v>
      </c>
      <c r="C158" s="10" t="s">
        <v>11</v>
      </c>
      <c r="D158" s="10" t="s">
        <v>14</v>
      </c>
      <c r="E158" s="3">
        <v>10.0</v>
      </c>
      <c r="F158" s="3">
        <v>8.0</v>
      </c>
      <c r="G158" s="3">
        <v>8.0</v>
      </c>
      <c r="H158" s="3">
        <v>-1.0</v>
      </c>
      <c r="I158" s="11">
        <f t="shared" si="1"/>
        <v>18</v>
      </c>
      <c r="J158" s="3">
        <v>120.0</v>
      </c>
    </row>
    <row r="159" ht="15.75" customHeight="1">
      <c r="A159" s="3">
        <v>90.0</v>
      </c>
      <c r="B159" s="10" t="s">
        <v>170</v>
      </c>
      <c r="C159" s="10" t="s">
        <v>11</v>
      </c>
      <c r="D159" s="10" t="s">
        <v>14</v>
      </c>
      <c r="E159" s="3">
        <v>9.0</v>
      </c>
      <c r="F159" s="3">
        <v>8.0</v>
      </c>
      <c r="G159" s="3">
        <v>8.0</v>
      </c>
      <c r="H159" s="3">
        <v>1.0</v>
      </c>
      <c r="I159" s="11">
        <f t="shared" si="1"/>
        <v>17</v>
      </c>
      <c r="J159" s="3">
        <v>100.0</v>
      </c>
    </row>
    <row r="160" ht="15.75" customHeight="1">
      <c r="A160" s="3">
        <v>131.0</v>
      </c>
      <c r="B160" s="10" t="s">
        <v>171</v>
      </c>
      <c r="C160" s="10" t="s">
        <v>11</v>
      </c>
      <c r="D160" s="10" t="s">
        <v>14</v>
      </c>
      <c r="E160" s="3">
        <v>7.0</v>
      </c>
      <c r="F160" s="3">
        <v>4.0</v>
      </c>
      <c r="G160" s="3">
        <v>8.0</v>
      </c>
      <c r="H160" s="3">
        <v>1.0</v>
      </c>
      <c r="I160" s="11">
        <f t="shared" si="1"/>
        <v>11</v>
      </c>
      <c r="J160" s="3">
        <v>60.0</v>
      </c>
    </row>
    <row r="161" ht="15.75" customHeight="1">
      <c r="A161" s="3">
        <v>125.0</v>
      </c>
      <c r="B161" s="10" t="s">
        <v>172</v>
      </c>
      <c r="C161" s="10" t="s">
        <v>11</v>
      </c>
      <c r="D161" s="10" t="s">
        <v>14</v>
      </c>
      <c r="E161" s="3">
        <v>10.0</v>
      </c>
      <c r="F161" s="3">
        <v>10.0</v>
      </c>
      <c r="G161" s="3">
        <v>9.0</v>
      </c>
      <c r="H161" s="3">
        <v>1.0</v>
      </c>
      <c r="I161" s="11">
        <f t="shared" si="1"/>
        <v>20</v>
      </c>
      <c r="J161" s="3">
        <v>120.0</v>
      </c>
    </row>
    <row r="162" ht="15.75" customHeight="1">
      <c r="B162" s="23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>
      <c r="B172" s="24"/>
    </row>
    <row r="173" ht="15.75" customHeight="1"/>
    <row r="174" ht="15.75" customHeight="1">
      <c r="B174" s="23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ht="15.75" customHeight="1">
      <c r="A2" s="13">
        <v>119.0</v>
      </c>
      <c r="B2" s="12" t="s">
        <v>38</v>
      </c>
      <c r="C2" s="12" t="s">
        <v>13</v>
      </c>
      <c r="D2" s="12" t="s">
        <v>14</v>
      </c>
      <c r="E2" s="13">
        <v>10.0</v>
      </c>
      <c r="F2" s="13">
        <v>10.0</v>
      </c>
      <c r="G2" s="13">
        <v>2.0</v>
      </c>
      <c r="H2" s="13">
        <v>-1.0</v>
      </c>
      <c r="I2" s="14">
        <f t="shared" ref="I2:I161" si="1">sum(E2,F2)</f>
        <v>20</v>
      </c>
      <c r="J2" s="13">
        <v>120.0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</row>
    <row r="3" ht="15.75" customHeight="1">
      <c r="A3" s="13">
        <v>125.0</v>
      </c>
      <c r="B3" s="12" t="s">
        <v>172</v>
      </c>
      <c r="C3" s="12" t="s">
        <v>11</v>
      </c>
      <c r="D3" s="12" t="s">
        <v>14</v>
      </c>
      <c r="E3" s="13">
        <v>10.0</v>
      </c>
      <c r="F3" s="13">
        <v>10.0</v>
      </c>
      <c r="G3" s="13">
        <v>9.0</v>
      </c>
      <c r="H3" s="13">
        <v>1.0</v>
      </c>
      <c r="I3" s="14">
        <f t="shared" si="1"/>
        <v>20</v>
      </c>
      <c r="J3" s="13">
        <v>120.0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</row>
    <row r="4" ht="15.75" customHeight="1">
      <c r="A4" s="26">
        <v>141.0</v>
      </c>
      <c r="B4" s="27" t="s">
        <v>20</v>
      </c>
      <c r="C4" s="27" t="s">
        <v>11</v>
      </c>
      <c r="D4" s="27" t="s">
        <v>14</v>
      </c>
      <c r="E4" s="26">
        <v>10.0</v>
      </c>
      <c r="F4" s="26">
        <v>9.0</v>
      </c>
      <c r="G4" s="26">
        <v>1.0</v>
      </c>
      <c r="H4" s="26">
        <v>1.0</v>
      </c>
      <c r="I4" s="28">
        <f t="shared" si="1"/>
        <v>19</v>
      </c>
      <c r="J4" s="26">
        <v>120.0</v>
      </c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ht="15.75" customHeight="1">
      <c r="A5" s="7">
        <v>2.0</v>
      </c>
      <c r="B5" s="8" t="s">
        <v>15</v>
      </c>
      <c r="C5" s="8" t="s">
        <v>11</v>
      </c>
      <c r="D5" s="8" t="s">
        <v>14</v>
      </c>
      <c r="E5" s="7">
        <v>9.0</v>
      </c>
      <c r="F5" s="7">
        <v>9.0</v>
      </c>
      <c r="G5" s="7">
        <v>1.0</v>
      </c>
      <c r="H5" s="7">
        <v>-1.0</v>
      </c>
      <c r="I5" s="9">
        <f t="shared" si="1"/>
        <v>18</v>
      </c>
      <c r="J5" s="7">
        <v>120.0</v>
      </c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ht="15.75" customHeight="1">
      <c r="A6" s="7">
        <v>20.0</v>
      </c>
      <c r="B6" s="8" t="s">
        <v>116</v>
      </c>
      <c r="C6" s="8" t="s">
        <v>11</v>
      </c>
      <c r="D6" s="8" t="s">
        <v>14</v>
      </c>
      <c r="E6" s="7">
        <v>9.0</v>
      </c>
      <c r="F6" s="7">
        <v>9.0</v>
      </c>
      <c r="G6" s="7">
        <v>5.0</v>
      </c>
      <c r="H6" s="7">
        <v>1.0</v>
      </c>
      <c r="I6" s="9">
        <f t="shared" si="1"/>
        <v>18</v>
      </c>
      <c r="J6" s="7">
        <v>120.0</v>
      </c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</row>
    <row r="7" ht="15.75" customHeight="1">
      <c r="A7" s="7">
        <v>88.0</v>
      </c>
      <c r="B7" s="8" t="s">
        <v>169</v>
      </c>
      <c r="C7" s="8" t="s">
        <v>11</v>
      </c>
      <c r="D7" s="8" t="s">
        <v>14</v>
      </c>
      <c r="E7" s="7">
        <v>10.0</v>
      </c>
      <c r="F7" s="7">
        <v>8.0</v>
      </c>
      <c r="G7" s="7">
        <v>8.0</v>
      </c>
      <c r="H7" s="7">
        <v>-1.0</v>
      </c>
      <c r="I7" s="9">
        <f t="shared" si="1"/>
        <v>18</v>
      </c>
      <c r="J7" s="7">
        <v>120.0</v>
      </c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5.75" customHeight="1">
      <c r="A8" s="7">
        <v>136.0</v>
      </c>
      <c r="B8" s="8" t="s">
        <v>133</v>
      </c>
      <c r="C8" s="8" t="s">
        <v>13</v>
      </c>
      <c r="D8" s="8" t="s">
        <v>14</v>
      </c>
      <c r="E8" s="7">
        <v>9.0</v>
      </c>
      <c r="F8" s="7">
        <v>9.0</v>
      </c>
      <c r="G8" s="7">
        <v>5.0</v>
      </c>
      <c r="H8" s="7">
        <v>1.0</v>
      </c>
      <c r="I8" s="9">
        <f t="shared" si="1"/>
        <v>18</v>
      </c>
      <c r="J8" s="7">
        <v>120.0</v>
      </c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5.75" customHeight="1">
      <c r="A9" s="7">
        <v>149.0</v>
      </c>
      <c r="B9" s="8" t="s">
        <v>138</v>
      </c>
      <c r="C9" s="8" t="s">
        <v>11</v>
      </c>
      <c r="D9" s="8" t="s">
        <v>14</v>
      </c>
      <c r="E9" s="7">
        <v>10.0</v>
      </c>
      <c r="F9" s="7">
        <v>8.0</v>
      </c>
      <c r="G9" s="7">
        <v>5.0</v>
      </c>
      <c r="H9" s="7">
        <v>1.0</v>
      </c>
      <c r="I9" s="9">
        <f t="shared" si="1"/>
        <v>18</v>
      </c>
      <c r="J9" s="7">
        <v>100.0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5.75" customHeight="1">
      <c r="A10" s="13">
        <v>30.0</v>
      </c>
      <c r="B10" s="12" t="s">
        <v>117</v>
      </c>
      <c r="C10" s="12" t="s">
        <v>13</v>
      </c>
      <c r="D10" s="12" t="s">
        <v>14</v>
      </c>
      <c r="E10" s="13">
        <v>9.0</v>
      </c>
      <c r="F10" s="13">
        <v>8.0</v>
      </c>
      <c r="G10" s="13">
        <v>5.0</v>
      </c>
      <c r="H10" s="13">
        <v>1.0</v>
      </c>
      <c r="I10" s="14">
        <f t="shared" si="1"/>
        <v>17</v>
      </c>
      <c r="J10" s="13">
        <v>120.0</v>
      </c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ht="15.75" customHeight="1">
      <c r="A11" s="13">
        <v>71.0</v>
      </c>
      <c r="B11" s="12" t="s">
        <v>142</v>
      </c>
      <c r="C11" s="12" t="s">
        <v>13</v>
      </c>
      <c r="D11" s="12" t="s">
        <v>11</v>
      </c>
      <c r="E11" s="13">
        <v>9.0</v>
      </c>
      <c r="F11" s="13">
        <v>8.0</v>
      </c>
      <c r="G11" s="13">
        <v>6.0</v>
      </c>
      <c r="H11" s="13">
        <v>1.0</v>
      </c>
      <c r="I11" s="14">
        <f t="shared" si="1"/>
        <v>17</v>
      </c>
      <c r="J11" s="13">
        <v>120.0</v>
      </c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5.75" customHeight="1">
      <c r="A12" s="13">
        <v>28.0</v>
      </c>
      <c r="B12" s="12" t="s">
        <v>147</v>
      </c>
      <c r="C12" s="12" t="s">
        <v>11</v>
      </c>
      <c r="D12" s="12" t="s">
        <v>14</v>
      </c>
      <c r="E12" s="13">
        <v>8.0</v>
      </c>
      <c r="F12" s="13">
        <v>9.0</v>
      </c>
      <c r="G12" s="13">
        <v>6.0</v>
      </c>
      <c r="H12" s="13">
        <v>1.0</v>
      </c>
      <c r="I12" s="14">
        <f t="shared" si="1"/>
        <v>17</v>
      </c>
      <c r="J12" s="13">
        <v>100.0</v>
      </c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ht="15.75" customHeight="1">
      <c r="A13" s="13">
        <v>57.0</v>
      </c>
      <c r="B13" s="12" t="s">
        <v>164</v>
      </c>
      <c r="C13" s="12" t="s">
        <v>11</v>
      </c>
      <c r="D13" s="12" t="s">
        <v>14</v>
      </c>
      <c r="E13" s="13">
        <v>8.0</v>
      </c>
      <c r="F13" s="13">
        <v>9.0</v>
      </c>
      <c r="G13" s="13">
        <v>7.0</v>
      </c>
      <c r="H13" s="13">
        <v>-1.0</v>
      </c>
      <c r="I13" s="14">
        <f t="shared" si="1"/>
        <v>17</v>
      </c>
      <c r="J13" s="13">
        <v>100.0</v>
      </c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ht="15.75" customHeight="1">
      <c r="A14" s="13">
        <v>90.0</v>
      </c>
      <c r="B14" s="12" t="s">
        <v>170</v>
      </c>
      <c r="C14" s="12" t="s">
        <v>11</v>
      </c>
      <c r="D14" s="12" t="s">
        <v>14</v>
      </c>
      <c r="E14" s="13">
        <v>9.0</v>
      </c>
      <c r="F14" s="13">
        <v>8.0</v>
      </c>
      <c r="G14" s="13">
        <v>8.0</v>
      </c>
      <c r="H14" s="13">
        <v>1.0</v>
      </c>
      <c r="I14" s="14">
        <f t="shared" si="1"/>
        <v>17</v>
      </c>
      <c r="J14" s="13">
        <v>100.0</v>
      </c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ht="15.75" customHeight="1">
      <c r="A15" s="13">
        <v>99.0</v>
      </c>
      <c r="B15" s="12" t="s">
        <v>157</v>
      </c>
      <c r="C15" s="12" t="s">
        <v>11</v>
      </c>
      <c r="D15" s="12" t="s">
        <v>14</v>
      </c>
      <c r="E15" s="13">
        <v>9.0</v>
      </c>
      <c r="F15" s="13">
        <v>8.0</v>
      </c>
      <c r="G15" s="13">
        <v>6.0</v>
      </c>
      <c r="H15" s="13">
        <v>1.0</v>
      </c>
      <c r="I15" s="14">
        <f t="shared" si="1"/>
        <v>17</v>
      </c>
      <c r="J15" s="13">
        <v>100.0</v>
      </c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5.75" customHeight="1">
      <c r="A16" s="13">
        <v>153.0</v>
      </c>
      <c r="B16" s="12" t="s">
        <v>21</v>
      </c>
      <c r="C16" s="12" t="s">
        <v>11</v>
      </c>
      <c r="D16" s="12" t="s">
        <v>14</v>
      </c>
      <c r="E16" s="13">
        <v>10.0</v>
      </c>
      <c r="F16" s="13">
        <v>7.0</v>
      </c>
      <c r="G16" s="13">
        <v>1.0</v>
      </c>
      <c r="H16" s="13">
        <v>-1.0</v>
      </c>
      <c r="I16" s="14">
        <f t="shared" si="1"/>
        <v>17</v>
      </c>
      <c r="J16" s="13">
        <v>100.0</v>
      </c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ht="15.75" customHeight="1">
      <c r="A17" s="7">
        <v>1.0</v>
      </c>
      <c r="B17" s="8" t="s">
        <v>12</v>
      </c>
      <c r="C17" s="8" t="s">
        <v>13</v>
      </c>
      <c r="D17" s="8" t="s">
        <v>14</v>
      </c>
      <c r="E17" s="7">
        <v>8.0</v>
      </c>
      <c r="F17" s="7">
        <v>8.0</v>
      </c>
      <c r="G17" s="7">
        <v>1.0</v>
      </c>
      <c r="H17" s="7">
        <v>-1.0</v>
      </c>
      <c r="I17" s="9">
        <f t="shared" si="1"/>
        <v>16</v>
      </c>
      <c r="J17" s="7">
        <v>100.0</v>
      </c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5.75" customHeight="1">
      <c r="A18" s="7">
        <v>12.0</v>
      </c>
      <c r="B18" s="8" t="s">
        <v>26</v>
      </c>
      <c r="C18" s="8" t="s">
        <v>13</v>
      </c>
      <c r="D18" s="8" t="s">
        <v>14</v>
      </c>
      <c r="E18" s="7">
        <v>8.0</v>
      </c>
      <c r="F18" s="7">
        <v>8.0</v>
      </c>
      <c r="G18" s="7">
        <v>2.0</v>
      </c>
      <c r="H18" s="7">
        <v>1.0</v>
      </c>
      <c r="I18" s="9">
        <f t="shared" si="1"/>
        <v>16</v>
      </c>
      <c r="J18" s="7">
        <v>100.0</v>
      </c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5.75" customHeight="1">
      <c r="A19" s="7">
        <v>18.0</v>
      </c>
      <c r="B19" s="8" t="s">
        <v>145</v>
      </c>
      <c r="C19" s="8" t="s">
        <v>11</v>
      </c>
      <c r="D19" s="8" t="s">
        <v>14</v>
      </c>
      <c r="E19" s="7">
        <v>8.0</v>
      </c>
      <c r="F19" s="7">
        <v>8.0</v>
      </c>
      <c r="G19" s="7">
        <v>6.0</v>
      </c>
      <c r="H19" s="7">
        <v>-1.0</v>
      </c>
      <c r="I19" s="9">
        <f t="shared" si="1"/>
        <v>16</v>
      </c>
      <c r="J19" s="7">
        <v>100.0</v>
      </c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5.75" customHeight="1">
      <c r="A20" s="7">
        <v>33.0</v>
      </c>
      <c r="B20" s="8" t="s">
        <v>50</v>
      </c>
      <c r="C20" s="8" t="s">
        <v>11</v>
      </c>
      <c r="D20" s="8" t="s">
        <v>14</v>
      </c>
      <c r="E20" s="7">
        <v>8.0</v>
      </c>
      <c r="F20" s="7">
        <v>8.0</v>
      </c>
      <c r="G20" s="7">
        <v>3.0</v>
      </c>
      <c r="H20" s="7">
        <v>1.0</v>
      </c>
      <c r="I20" s="9">
        <f t="shared" si="1"/>
        <v>16</v>
      </c>
      <c r="J20" s="7">
        <v>100.0</v>
      </c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5.75" customHeight="1">
      <c r="A21" s="7">
        <v>37.0</v>
      </c>
      <c r="B21" s="8" t="s">
        <v>10</v>
      </c>
      <c r="C21" s="8" t="s">
        <v>11</v>
      </c>
      <c r="D21" s="8" t="s">
        <v>11</v>
      </c>
      <c r="E21" s="7">
        <v>8.0</v>
      </c>
      <c r="F21" s="7">
        <v>8.0</v>
      </c>
      <c r="G21" s="7">
        <v>1.0</v>
      </c>
      <c r="H21" s="7">
        <v>-1.0</v>
      </c>
      <c r="I21" s="9">
        <f t="shared" si="1"/>
        <v>16</v>
      </c>
      <c r="J21" s="7">
        <v>100.0</v>
      </c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15.75" customHeight="1">
      <c r="A22" s="7">
        <v>38.0</v>
      </c>
      <c r="B22" s="8" t="s">
        <v>84</v>
      </c>
      <c r="C22" s="8" t="s">
        <v>11</v>
      </c>
      <c r="D22" s="8" t="s">
        <v>14</v>
      </c>
      <c r="E22" s="7">
        <v>8.0</v>
      </c>
      <c r="F22" s="7">
        <v>8.0</v>
      </c>
      <c r="G22" s="7">
        <v>4.0</v>
      </c>
      <c r="H22" s="7">
        <v>-1.0</v>
      </c>
      <c r="I22" s="9">
        <f t="shared" si="1"/>
        <v>16</v>
      </c>
      <c r="J22" s="7">
        <v>100.0</v>
      </c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5.75" customHeight="1">
      <c r="A23" s="7">
        <v>41.0</v>
      </c>
      <c r="B23" s="8" t="s">
        <v>162</v>
      </c>
      <c r="C23" s="8" t="s">
        <v>11</v>
      </c>
      <c r="D23" s="8" t="s">
        <v>14</v>
      </c>
      <c r="E23" s="7">
        <v>8.0</v>
      </c>
      <c r="F23" s="7">
        <v>8.0</v>
      </c>
      <c r="G23" s="7">
        <v>7.0</v>
      </c>
      <c r="H23" s="7">
        <v>1.0</v>
      </c>
      <c r="I23" s="9">
        <f t="shared" si="1"/>
        <v>16</v>
      </c>
      <c r="J23" s="7">
        <v>100.0</v>
      </c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5.75" customHeight="1">
      <c r="A24" s="7">
        <v>48.0</v>
      </c>
      <c r="B24" s="8" t="s">
        <v>118</v>
      </c>
      <c r="C24" s="8" t="s">
        <v>11</v>
      </c>
      <c r="D24" s="8" t="s">
        <v>14</v>
      </c>
      <c r="E24" s="7">
        <v>8.0</v>
      </c>
      <c r="F24" s="7">
        <v>8.0</v>
      </c>
      <c r="G24" s="7">
        <v>5.0</v>
      </c>
      <c r="H24" s="7">
        <v>-1.0</v>
      </c>
      <c r="I24" s="9">
        <f t="shared" si="1"/>
        <v>16</v>
      </c>
      <c r="J24" s="7">
        <v>100.0</v>
      </c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ht="15.75" customHeight="1">
      <c r="A25" s="7">
        <v>49.0</v>
      </c>
      <c r="B25" s="8" t="s">
        <v>119</v>
      </c>
      <c r="C25" s="8" t="s">
        <v>13</v>
      </c>
      <c r="D25" s="8" t="s">
        <v>14</v>
      </c>
      <c r="E25" s="7">
        <v>8.0</v>
      </c>
      <c r="F25" s="7">
        <v>8.0</v>
      </c>
      <c r="G25" s="7">
        <v>5.0</v>
      </c>
      <c r="H25" s="7">
        <v>1.0</v>
      </c>
      <c r="I25" s="9">
        <f t="shared" si="1"/>
        <v>16</v>
      </c>
      <c r="J25" s="7">
        <v>100.0</v>
      </c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15.75" customHeight="1">
      <c r="A26" s="7">
        <v>51.0</v>
      </c>
      <c r="B26" s="8" t="s">
        <v>30</v>
      </c>
      <c r="C26" s="8" t="s">
        <v>13</v>
      </c>
      <c r="D26" s="8" t="s">
        <v>14</v>
      </c>
      <c r="E26" s="7">
        <v>8.0</v>
      </c>
      <c r="F26" s="7">
        <v>8.0</v>
      </c>
      <c r="G26" s="7">
        <v>2.0</v>
      </c>
      <c r="H26" s="7">
        <v>1.0</v>
      </c>
      <c r="I26" s="9">
        <f t="shared" si="1"/>
        <v>16</v>
      </c>
      <c r="J26" s="7">
        <v>100.0</v>
      </c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5.75" customHeight="1">
      <c r="A27" s="7">
        <v>91.0</v>
      </c>
      <c r="B27" s="8" t="s">
        <v>153</v>
      </c>
      <c r="C27" s="8" t="s">
        <v>11</v>
      </c>
      <c r="D27" s="8" t="s">
        <v>14</v>
      </c>
      <c r="E27" s="7">
        <v>8.0</v>
      </c>
      <c r="F27" s="7">
        <v>8.0</v>
      </c>
      <c r="G27" s="7">
        <v>6.0</v>
      </c>
      <c r="H27" s="7">
        <v>1.0</v>
      </c>
      <c r="I27" s="9">
        <f t="shared" si="1"/>
        <v>16</v>
      </c>
      <c r="J27" s="7">
        <v>100.0</v>
      </c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15.75" customHeight="1">
      <c r="A28" s="7">
        <v>101.0</v>
      </c>
      <c r="B28" s="8" t="s">
        <v>110</v>
      </c>
      <c r="C28" s="8" t="s">
        <v>11</v>
      </c>
      <c r="D28" s="8" t="s">
        <v>11</v>
      </c>
      <c r="E28" s="7">
        <v>8.0</v>
      </c>
      <c r="F28" s="7">
        <v>8.0</v>
      </c>
      <c r="G28" s="7">
        <v>5.0</v>
      </c>
      <c r="H28" s="7">
        <v>1.0</v>
      </c>
      <c r="I28" s="9">
        <f t="shared" si="1"/>
        <v>16</v>
      </c>
      <c r="J28" s="7">
        <v>100.0</v>
      </c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15.75" customHeight="1">
      <c r="A29" s="7">
        <v>121.0</v>
      </c>
      <c r="B29" s="8" t="s">
        <v>165</v>
      </c>
      <c r="C29" s="8" t="s">
        <v>11</v>
      </c>
      <c r="D29" s="8" t="s">
        <v>14</v>
      </c>
      <c r="E29" s="7">
        <v>8.0</v>
      </c>
      <c r="F29" s="7">
        <v>8.0</v>
      </c>
      <c r="G29" s="7">
        <v>7.0</v>
      </c>
      <c r="H29" s="7">
        <v>-1.0</v>
      </c>
      <c r="I29" s="9">
        <f t="shared" si="1"/>
        <v>16</v>
      </c>
      <c r="J29" s="7">
        <v>100.0</v>
      </c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15.75" customHeight="1">
      <c r="A30" s="7">
        <v>124.0</v>
      </c>
      <c r="B30" s="8" t="s">
        <v>102</v>
      </c>
      <c r="C30" s="8" t="s">
        <v>11</v>
      </c>
      <c r="D30" s="8" t="s">
        <v>14</v>
      </c>
      <c r="E30" s="7">
        <v>8.0</v>
      </c>
      <c r="F30" s="7">
        <v>8.0</v>
      </c>
      <c r="G30" s="7">
        <v>4.0</v>
      </c>
      <c r="H30" s="7">
        <v>1.0</v>
      </c>
      <c r="I30" s="9">
        <f t="shared" si="1"/>
        <v>16</v>
      </c>
      <c r="J30" s="7">
        <v>100.0</v>
      </c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ht="15.75" customHeight="1">
      <c r="A31" s="7">
        <v>155.0</v>
      </c>
      <c r="B31" s="8" t="s">
        <v>105</v>
      </c>
      <c r="C31" s="8" t="s">
        <v>11</v>
      </c>
      <c r="D31" s="8" t="s">
        <v>14</v>
      </c>
      <c r="E31" s="7">
        <v>8.0</v>
      </c>
      <c r="F31" s="7">
        <v>8.0</v>
      </c>
      <c r="G31" s="7">
        <v>4.0</v>
      </c>
      <c r="H31" s="7">
        <v>-1.0</v>
      </c>
      <c r="I31" s="9">
        <f t="shared" si="1"/>
        <v>16</v>
      </c>
      <c r="J31" s="7">
        <v>100.0</v>
      </c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ht="15.75" customHeight="1">
      <c r="A32" s="13">
        <v>72.0</v>
      </c>
      <c r="B32" s="12" t="s">
        <v>89</v>
      </c>
      <c r="C32" s="12" t="s">
        <v>11</v>
      </c>
      <c r="D32" s="12" t="s">
        <v>14</v>
      </c>
      <c r="E32" s="13">
        <v>8.0</v>
      </c>
      <c r="F32" s="13">
        <v>7.0</v>
      </c>
      <c r="G32" s="13">
        <v>4.0</v>
      </c>
      <c r="H32" s="13">
        <v>1.0</v>
      </c>
      <c r="I32" s="14">
        <f t="shared" si="1"/>
        <v>15</v>
      </c>
      <c r="J32" s="13">
        <v>100.0</v>
      </c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</row>
    <row r="33" ht="15.75" customHeight="1">
      <c r="A33" s="13">
        <v>74.0</v>
      </c>
      <c r="B33" s="12" t="s">
        <v>90</v>
      </c>
      <c r="C33" s="12" t="s">
        <v>13</v>
      </c>
      <c r="D33" s="12" t="s">
        <v>14</v>
      </c>
      <c r="E33" s="13">
        <v>9.0</v>
      </c>
      <c r="F33" s="13">
        <v>6.0</v>
      </c>
      <c r="G33" s="13">
        <v>4.0</v>
      </c>
      <c r="H33" s="13">
        <v>-1.0</v>
      </c>
      <c r="I33" s="14">
        <f t="shared" si="1"/>
        <v>15</v>
      </c>
      <c r="J33" s="13">
        <v>100.0</v>
      </c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</row>
    <row r="34" ht="15.75" customHeight="1">
      <c r="A34" s="13">
        <v>146.0</v>
      </c>
      <c r="B34" s="12" t="s">
        <v>137</v>
      </c>
      <c r="C34" s="12" t="s">
        <v>11</v>
      </c>
      <c r="D34" s="12" t="s">
        <v>14</v>
      </c>
      <c r="E34" s="13">
        <v>7.0</v>
      </c>
      <c r="F34" s="13">
        <v>8.0</v>
      </c>
      <c r="G34" s="13">
        <v>5.0</v>
      </c>
      <c r="H34" s="13">
        <v>1.0</v>
      </c>
      <c r="I34" s="14">
        <f t="shared" si="1"/>
        <v>15</v>
      </c>
      <c r="J34" s="13">
        <v>100.0</v>
      </c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</row>
    <row r="35" ht="15.75" customHeight="1">
      <c r="A35" s="13">
        <v>22.0</v>
      </c>
      <c r="B35" s="12" t="s">
        <v>146</v>
      </c>
      <c r="C35" s="12" t="s">
        <v>11</v>
      </c>
      <c r="D35" s="12" t="s">
        <v>14</v>
      </c>
      <c r="E35" s="13">
        <v>9.0</v>
      </c>
      <c r="F35" s="13">
        <v>6.0</v>
      </c>
      <c r="G35" s="13">
        <v>6.0</v>
      </c>
      <c r="H35" s="13">
        <v>1.0</v>
      </c>
      <c r="I35" s="14">
        <f t="shared" si="1"/>
        <v>15</v>
      </c>
      <c r="J35" s="13">
        <v>80.0</v>
      </c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</row>
    <row r="36" ht="15.75" customHeight="1">
      <c r="A36" s="13">
        <v>45.0</v>
      </c>
      <c r="B36" s="12" t="s">
        <v>55</v>
      </c>
      <c r="C36" s="12" t="s">
        <v>11</v>
      </c>
      <c r="D36" s="12" t="s">
        <v>14</v>
      </c>
      <c r="E36" s="13">
        <v>8.0</v>
      </c>
      <c r="F36" s="13">
        <v>7.0</v>
      </c>
      <c r="G36" s="13">
        <v>3.0</v>
      </c>
      <c r="H36" s="13">
        <v>1.0</v>
      </c>
      <c r="I36" s="14">
        <f t="shared" si="1"/>
        <v>15</v>
      </c>
      <c r="J36" s="13">
        <v>80.0</v>
      </c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</row>
    <row r="37" ht="15.75" customHeight="1">
      <c r="A37" s="13">
        <v>60.0</v>
      </c>
      <c r="B37" s="12" t="s">
        <v>151</v>
      </c>
      <c r="C37" s="12" t="s">
        <v>11</v>
      </c>
      <c r="D37" s="12" t="s">
        <v>14</v>
      </c>
      <c r="E37" s="13">
        <v>8.0</v>
      </c>
      <c r="F37" s="13">
        <v>7.0</v>
      </c>
      <c r="G37" s="13">
        <v>6.0</v>
      </c>
      <c r="H37" s="13">
        <v>-1.0</v>
      </c>
      <c r="I37" s="14">
        <f t="shared" si="1"/>
        <v>15</v>
      </c>
      <c r="J37" s="13">
        <v>80.0</v>
      </c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</row>
    <row r="38" ht="15.75" customHeight="1">
      <c r="A38" s="13">
        <v>62.0</v>
      </c>
      <c r="B38" s="12" t="s">
        <v>32</v>
      </c>
      <c r="C38" s="12" t="s">
        <v>13</v>
      </c>
      <c r="D38" s="12" t="s">
        <v>14</v>
      </c>
      <c r="E38" s="13">
        <v>8.0</v>
      </c>
      <c r="F38" s="13">
        <v>7.0</v>
      </c>
      <c r="G38" s="13">
        <v>2.0</v>
      </c>
      <c r="H38" s="13">
        <v>-1.0</v>
      </c>
      <c r="I38" s="14">
        <f t="shared" si="1"/>
        <v>15</v>
      </c>
      <c r="J38" s="13">
        <v>80.0</v>
      </c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</row>
    <row r="39" ht="15.75" customHeight="1">
      <c r="A39" s="13">
        <v>64.0</v>
      </c>
      <c r="B39" s="12" t="s">
        <v>34</v>
      </c>
      <c r="C39" s="12" t="s">
        <v>13</v>
      </c>
      <c r="D39" s="12" t="s">
        <v>14</v>
      </c>
      <c r="E39" s="13">
        <v>8.0</v>
      </c>
      <c r="F39" s="13">
        <v>7.0</v>
      </c>
      <c r="G39" s="13">
        <v>2.0</v>
      </c>
      <c r="H39" s="13">
        <v>1.0</v>
      </c>
      <c r="I39" s="14">
        <f t="shared" si="1"/>
        <v>15</v>
      </c>
      <c r="J39" s="13">
        <v>80.0</v>
      </c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</row>
    <row r="40" ht="15.75" customHeight="1">
      <c r="A40" s="13">
        <v>67.0</v>
      </c>
      <c r="B40" s="12" t="s">
        <v>123</v>
      </c>
      <c r="C40" s="12" t="s">
        <v>11</v>
      </c>
      <c r="D40" s="12" t="s">
        <v>14</v>
      </c>
      <c r="E40" s="13">
        <v>7.0</v>
      </c>
      <c r="F40" s="13">
        <v>8.0</v>
      </c>
      <c r="G40" s="13">
        <v>5.0</v>
      </c>
      <c r="H40" s="13">
        <v>1.0</v>
      </c>
      <c r="I40" s="14">
        <f t="shared" si="1"/>
        <v>15</v>
      </c>
      <c r="J40" s="13">
        <v>80.0</v>
      </c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</row>
    <row r="41" ht="15.75" customHeight="1">
      <c r="A41" s="13">
        <v>70.0</v>
      </c>
      <c r="B41" s="12" t="s">
        <v>88</v>
      </c>
      <c r="C41" s="12" t="s">
        <v>11</v>
      </c>
      <c r="D41" s="12" t="s">
        <v>14</v>
      </c>
      <c r="E41" s="13">
        <v>8.0</v>
      </c>
      <c r="F41" s="13">
        <v>7.0</v>
      </c>
      <c r="G41" s="13">
        <v>4.0</v>
      </c>
      <c r="H41" s="13">
        <v>-1.0</v>
      </c>
      <c r="I41" s="14">
        <f t="shared" si="1"/>
        <v>15</v>
      </c>
      <c r="J41" s="13">
        <v>80.0</v>
      </c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</row>
    <row r="42" ht="15.75" customHeight="1">
      <c r="A42" s="13">
        <v>78.0</v>
      </c>
      <c r="B42" s="12" t="s">
        <v>91</v>
      </c>
      <c r="C42" s="12" t="s">
        <v>13</v>
      </c>
      <c r="D42" s="12" t="s">
        <v>14</v>
      </c>
      <c r="E42" s="13">
        <v>7.0</v>
      </c>
      <c r="F42" s="13">
        <v>8.0</v>
      </c>
      <c r="G42" s="13">
        <v>4.0</v>
      </c>
      <c r="H42" s="13">
        <v>1.0</v>
      </c>
      <c r="I42" s="14">
        <f t="shared" si="1"/>
        <v>15</v>
      </c>
      <c r="J42" s="13">
        <v>80.0</v>
      </c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</row>
    <row r="43" ht="15.75" customHeight="1">
      <c r="A43" s="13">
        <v>83.0</v>
      </c>
      <c r="B43" s="12" t="s">
        <v>36</v>
      </c>
      <c r="C43" s="12" t="s">
        <v>11</v>
      </c>
      <c r="D43" s="12" t="s">
        <v>14</v>
      </c>
      <c r="E43" s="13">
        <v>7.0</v>
      </c>
      <c r="F43" s="13">
        <v>8.0</v>
      </c>
      <c r="G43" s="13">
        <v>2.0</v>
      </c>
      <c r="H43" s="13">
        <v>1.0</v>
      </c>
      <c r="I43" s="14">
        <f t="shared" si="1"/>
        <v>15</v>
      </c>
      <c r="J43" s="13">
        <v>80.0</v>
      </c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</row>
    <row r="44" ht="15.75" customHeight="1">
      <c r="A44" s="13">
        <v>86.0</v>
      </c>
      <c r="B44" s="12" t="s">
        <v>125</v>
      </c>
      <c r="C44" s="12" t="s">
        <v>11</v>
      </c>
      <c r="D44" s="12" t="s">
        <v>14</v>
      </c>
      <c r="E44" s="13">
        <v>8.0</v>
      </c>
      <c r="F44" s="13">
        <v>7.0</v>
      </c>
      <c r="G44" s="13">
        <v>5.0</v>
      </c>
      <c r="H44" s="13">
        <v>1.0</v>
      </c>
      <c r="I44" s="14">
        <f t="shared" si="1"/>
        <v>15</v>
      </c>
      <c r="J44" s="13">
        <v>80.0</v>
      </c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</row>
    <row r="45" ht="15.75" customHeight="1">
      <c r="A45" s="13">
        <v>122.0</v>
      </c>
      <c r="B45" s="12" t="s">
        <v>166</v>
      </c>
      <c r="C45" s="12" t="s">
        <v>11</v>
      </c>
      <c r="D45" s="12" t="s">
        <v>14</v>
      </c>
      <c r="E45" s="13">
        <v>7.0</v>
      </c>
      <c r="F45" s="13">
        <v>8.0</v>
      </c>
      <c r="G45" s="13">
        <v>7.0</v>
      </c>
      <c r="H45" s="13">
        <v>1.0</v>
      </c>
      <c r="I45" s="14">
        <f t="shared" si="1"/>
        <v>15</v>
      </c>
      <c r="J45" s="13">
        <v>80.0</v>
      </c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</row>
    <row r="46" ht="15.75" customHeight="1">
      <c r="A46" s="13">
        <v>151.0</v>
      </c>
      <c r="B46" s="12" t="s">
        <v>72</v>
      </c>
      <c r="C46" s="12" t="s">
        <v>11</v>
      </c>
      <c r="D46" s="12" t="s">
        <v>14</v>
      </c>
      <c r="E46" s="13">
        <v>9.0</v>
      </c>
      <c r="F46" s="13">
        <v>6.0</v>
      </c>
      <c r="G46" s="13">
        <v>3.0</v>
      </c>
      <c r="H46" s="13">
        <v>1.0</v>
      </c>
      <c r="I46" s="14">
        <f t="shared" si="1"/>
        <v>15</v>
      </c>
      <c r="J46" s="13">
        <v>80.0</v>
      </c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</row>
    <row r="47" ht="15.75" customHeight="1">
      <c r="A47" s="13">
        <v>154.0</v>
      </c>
      <c r="B47" s="12" t="s">
        <v>39</v>
      </c>
      <c r="C47" s="12" t="s">
        <v>13</v>
      </c>
      <c r="D47" s="12" t="s">
        <v>14</v>
      </c>
      <c r="E47" s="13">
        <v>8.0</v>
      </c>
      <c r="F47" s="13">
        <v>7.0</v>
      </c>
      <c r="G47" s="13">
        <v>2.0</v>
      </c>
      <c r="H47" s="13">
        <v>1.0</v>
      </c>
      <c r="I47" s="14">
        <f t="shared" si="1"/>
        <v>15</v>
      </c>
      <c r="J47" s="13">
        <v>80.0</v>
      </c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</row>
    <row r="48" ht="15.75" customHeight="1">
      <c r="A48" s="7">
        <v>4.0</v>
      </c>
      <c r="B48" s="8" t="s">
        <v>16</v>
      </c>
      <c r="C48" s="8" t="s">
        <v>13</v>
      </c>
      <c r="D48" s="8" t="s">
        <v>14</v>
      </c>
      <c r="E48" s="7">
        <v>8.0</v>
      </c>
      <c r="F48" s="7">
        <v>6.0</v>
      </c>
      <c r="G48" s="7">
        <v>1.0</v>
      </c>
      <c r="H48" s="7">
        <v>-1.0</v>
      </c>
      <c r="I48" s="9">
        <f t="shared" si="1"/>
        <v>14</v>
      </c>
      <c r="J48" s="7">
        <v>80.0</v>
      </c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</row>
    <row r="49" ht="15.75" customHeight="1">
      <c r="A49" s="7">
        <v>8.0</v>
      </c>
      <c r="B49" s="8" t="s">
        <v>80</v>
      </c>
      <c r="C49" s="8" t="s">
        <v>13</v>
      </c>
      <c r="D49" s="8" t="s">
        <v>14</v>
      </c>
      <c r="E49" s="7">
        <v>7.0</v>
      </c>
      <c r="F49" s="7">
        <v>7.0</v>
      </c>
      <c r="G49" s="7">
        <v>4.0</v>
      </c>
      <c r="H49" s="7">
        <v>1.0</v>
      </c>
      <c r="I49" s="9">
        <f t="shared" si="1"/>
        <v>14</v>
      </c>
      <c r="J49" s="7">
        <v>80.0</v>
      </c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</row>
    <row r="50" ht="15.75" customHeight="1">
      <c r="A50" s="7">
        <v>11.0</v>
      </c>
      <c r="B50" s="8" t="s">
        <v>113</v>
      </c>
      <c r="C50" s="8" t="s">
        <v>11</v>
      </c>
      <c r="D50" s="8" t="s">
        <v>14</v>
      </c>
      <c r="E50" s="7">
        <v>7.0</v>
      </c>
      <c r="F50" s="7">
        <v>7.0</v>
      </c>
      <c r="G50" s="7">
        <v>5.0</v>
      </c>
      <c r="H50" s="7">
        <v>-1.0</v>
      </c>
      <c r="I50" s="9">
        <f t="shared" si="1"/>
        <v>14</v>
      </c>
      <c r="J50" s="7">
        <v>80.0</v>
      </c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</row>
    <row r="51" ht="15.75" customHeight="1">
      <c r="A51" s="7">
        <v>15.0</v>
      </c>
      <c r="B51" s="8" t="s">
        <v>115</v>
      </c>
      <c r="C51" s="8" t="s">
        <v>13</v>
      </c>
      <c r="D51" s="8" t="s">
        <v>14</v>
      </c>
      <c r="E51" s="7">
        <v>7.0</v>
      </c>
      <c r="F51" s="7">
        <v>7.0</v>
      </c>
      <c r="G51" s="7">
        <v>5.0</v>
      </c>
      <c r="H51" s="7">
        <v>1.0</v>
      </c>
      <c r="I51" s="9">
        <f t="shared" si="1"/>
        <v>14</v>
      </c>
      <c r="J51" s="7">
        <v>80.0</v>
      </c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</row>
    <row r="52" ht="15.75" customHeight="1">
      <c r="A52" s="7">
        <v>16.0</v>
      </c>
      <c r="B52" s="8" t="s">
        <v>144</v>
      </c>
      <c r="C52" s="8" t="s">
        <v>11</v>
      </c>
      <c r="D52" s="8" t="s">
        <v>14</v>
      </c>
      <c r="E52" s="7">
        <v>7.0</v>
      </c>
      <c r="F52" s="7">
        <v>7.0</v>
      </c>
      <c r="G52" s="7">
        <v>6.0</v>
      </c>
      <c r="H52" s="7">
        <v>-1.0</v>
      </c>
      <c r="I52" s="9">
        <f t="shared" si="1"/>
        <v>14</v>
      </c>
      <c r="J52" s="7">
        <v>80.0</v>
      </c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</row>
    <row r="53" ht="15.75" customHeight="1">
      <c r="A53" s="7">
        <v>35.0</v>
      </c>
      <c r="B53" s="8" t="s">
        <v>148</v>
      </c>
      <c r="C53" s="8" t="s">
        <v>11</v>
      </c>
      <c r="D53" s="8" t="s">
        <v>14</v>
      </c>
      <c r="E53" s="7">
        <v>7.0</v>
      </c>
      <c r="F53" s="7">
        <v>7.0</v>
      </c>
      <c r="G53" s="7">
        <v>6.0</v>
      </c>
      <c r="H53" s="7">
        <v>1.0</v>
      </c>
      <c r="I53" s="9">
        <f t="shared" si="1"/>
        <v>14</v>
      </c>
      <c r="J53" s="7">
        <v>80.0</v>
      </c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</row>
    <row r="54" ht="15.75" customHeight="1">
      <c r="A54" s="7">
        <v>44.0</v>
      </c>
      <c r="B54" s="8" t="s">
        <v>150</v>
      </c>
      <c r="C54" s="8" t="s">
        <v>11</v>
      </c>
      <c r="D54" s="8" t="s">
        <v>14</v>
      </c>
      <c r="E54" s="7">
        <v>7.0</v>
      </c>
      <c r="F54" s="7">
        <v>7.0</v>
      </c>
      <c r="G54" s="7">
        <v>6.0</v>
      </c>
      <c r="H54" s="7">
        <v>-1.0</v>
      </c>
      <c r="I54" s="9">
        <f t="shared" si="1"/>
        <v>14</v>
      </c>
      <c r="J54" s="7">
        <v>80.0</v>
      </c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</row>
    <row r="55" ht="15.75" customHeight="1">
      <c r="A55" s="7">
        <v>82.0</v>
      </c>
      <c r="B55" s="8" t="s">
        <v>61</v>
      </c>
      <c r="C55" s="8" t="s">
        <v>11</v>
      </c>
      <c r="D55" s="8" t="s">
        <v>14</v>
      </c>
      <c r="E55" s="7">
        <v>6.0</v>
      </c>
      <c r="F55" s="7">
        <v>8.0</v>
      </c>
      <c r="G55" s="7">
        <v>3.0</v>
      </c>
      <c r="H55" s="7">
        <v>-1.0</v>
      </c>
      <c r="I55" s="9">
        <f t="shared" si="1"/>
        <v>14</v>
      </c>
      <c r="J55" s="7">
        <v>80.0</v>
      </c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</row>
    <row r="56" ht="15.75" customHeight="1">
      <c r="A56" s="7">
        <v>84.0</v>
      </c>
      <c r="B56" s="8" t="s">
        <v>93</v>
      </c>
      <c r="C56" s="8" t="s">
        <v>11</v>
      </c>
      <c r="D56" s="8" t="s">
        <v>14</v>
      </c>
      <c r="E56" s="7">
        <v>7.0</v>
      </c>
      <c r="F56" s="7">
        <v>7.0</v>
      </c>
      <c r="G56" s="7">
        <v>4.0</v>
      </c>
      <c r="H56" s="7">
        <v>-1.0</v>
      </c>
      <c r="I56" s="9">
        <f t="shared" si="1"/>
        <v>14</v>
      </c>
      <c r="J56" s="7">
        <v>80.0</v>
      </c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</row>
    <row r="57" ht="15.75" customHeight="1">
      <c r="A57" s="7">
        <v>100.0</v>
      </c>
      <c r="B57" s="8" t="s">
        <v>96</v>
      </c>
      <c r="C57" s="8" t="s">
        <v>11</v>
      </c>
      <c r="D57" s="8" t="s">
        <v>14</v>
      </c>
      <c r="E57" s="7">
        <v>7.0</v>
      </c>
      <c r="F57" s="7">
        <v>7.0</v>
      </c>
      <c r="G57" s="7">
        <v>4.0</v>
      </c>
      <c r="H57" s="7">
        <v>1.0</v>
      </c>
      <c r="I57" s="9">
        <f t="shared" si="1"/>
        <v>14</v>
      </c>
      <c r="J57" s="7">
        <v>80.0</v>
      </c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</row>
    <row r="58" ht="15.75" customHeight="1">
      <c r="A58" s="7">
        <v>117.0</v>
      </c>
      <c r="B58" s="8" t="s">
        <v>67</v>
      </c>
      <c r="C58" s="8" t="s">
        <v>11</v>
      </c>
      <c r="D58" s="8" t="s">
        <v>14</v>
      </c>
      <c r="E58" s="7">
        <v>7.0</v>
      </c>
      <c r="F58" s="7">
        <v>7.0</v>
      </c>
      <c r="G58" s="7">
        <v>3.0</v>
      </c>
      <c r="H58" s="7">
        <v>-1.0</v>
      </c>
      <c r="I58" s="9">
        <f t="shared" si="1"/>
        <v>14</v>
      </c>
      <c r="J58" s="7">
        <v>80.0</v>
      </c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</row>
    <row r="59" ht="15.75" customHeight="1">
      <c r="A59" s="7">
        <v>140.0</v>
      </c>
      <c r="B59" s="8" t="s">
        <v>168</v>
      </c>
      <c r="C59" s="8" t="s">
        <v>11</v>
      </c>
      <c r="D59" s="8" t="s">
        <v>14</v>
      </c>
      <c r="E59" s="7">
        <v>7.0</v>
      </c>
      <c r="F59" s="7">
        <v>7.0</v>
      </c>
      <c r="G59" s="7">
        <v>7.0</v>
      </c>
      <c r="H59" s="7">
        <v>1.0</v>
      </c>
      <c r="I59" s="9">
        <f t="shared" si="1"/>
        <v>14</v>
      </c>
      <c r="J59" s="7">
        <v>80.0</v>
      </c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</row>
    <row r="60" ht="15.75" customHeight="1">
      <c r="A60" s="7">
        <v>142.0</v>
      </c>
      <c r="B60" s="8" t="s">
        <v>136</v>
      </c>
      <c r="C60" s="8" t="s">
        <v>11</v>
      </c>
      <c r="D60" s="8" t="s">
        <v>14</v>
      </c>
      <c r="E60" s="7">
        <v>7.0</v>
      </c>
      <c r="F60" s="7">
        <v>7.0</v>
      </c>
      <c r="G60" s="7">
        <v>5.0</v>
      </c>
      <c r="H60" s="7">
        <v>-1.0</v>
      </c>
      <c r="I60" s="9">
        <f t="shared" si="1"/>
        <v>14</v>
      </c>
      <c r="J60" s="7">
        <v>80.0</v>
      </c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</row>
    <row r="61" ht="15.75" customHeight="1">
      <c r="A61" s="7">
        <v>143.0</v>
      </c>
      <c r="B61" s="31" t="s">
        <v>112</v>
      </c>
      <c r="C61" s="32" t="s">
        <v>11</v>
      </c>
      <c r="D61" s="32" t="s">
        <v>11</v>
      </c>
      <c r="E61" s="32">
        <v>7.0</v>
      </c>
      <c r="F61" s="32">
        <v>7.0</v>
      </c>
      <c r="G61" s="32">
        <v>5.0</v>
      </c>
      <c r="H61" s="32">
        <v>1.0</v>
      </c>
      <c r="I61" s="9">
        <f t="shared" si="1"/>
        <v>14</v>
      </c>
      <c r="J61" s="32">
        <v>80.0</v>
      </c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</row>
    <row r="62" ht="15.75" customHeight="1">
      <c r="A62" s="7">
        <v>160.0</v>
      </c>
      <c r="B62" s="8" t="s">
        <v>141</v>
      </c>
      <c r="C62" s="8" t="s">
        <v>13</v>
      </c>
      <c r="D62" s="8" t="s">
        <v>14</v>
      </c>
      <c r="E62" s="7">
        <v>7.0</v>
      </c>
      <c r="F62" s="7">
        <v>7.0</v>
      </c>
      <c r="G62" s="7">
        <v>5.0</v>
      </c>
      <c r="H62" s="7">
        <v>1.0</v>
      </c>
      <c r="I62" s="9">
        <f t="shared" si="1"/>
        <v>14</v>
      </c>
      <c r="J62" s="7">
        <v>80.0</v>
      </c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</row>
    <row r="63" ht="15.75" customHeight="1">
      <c r="A63" s="3">
        <v>31.0</v>
      </c>
      <c r="B63" s="10" t="s">
        <v>42</v>
      </c>
      <c r="C63" s="10" t="s">
        <v>11</v>
      </c>
      <c r="D63" s="10" t="s">
        <v>11</v>
      </c>
      <c r="E63" s="3">
        <v>7.0</v>
      </c>
      <c r="F63" s="3">
        <v>6.0</v>
      </c>
      <c r="G63" s="3">
        <v>3.0</v>
      </c>
      <c r="H63" s="3">
        <v>1.0</v>
      </c>
      <c r="I63" s="11">
        <f t="shared" si="1"/>
        <v>13</v>
      </c>
      <c r="J63" s="3">
        <v>80.0</v>
      </c>
    </row>
    <row r="64" ht="15.75" customHeight="1">
      <c r="A64" s="3">
        <v>53.0</v>
      </c>
      <c r="B64" s="10" t="s">
        <v>85</v>
      </c>
      <c r="C64" s="10" t="s">
        <v>11</v>
      </c>
      <c r="D64" s="10" t="s">
        <v>14</v>
      </c>
      <c r="E64" s="3">
        <v>7.0</v>
      </c>
      <c r="F64" s="3">
        <v>6.0</v>
      </c>
      <c r="G64" s="3">
        <v>4.0</v>
      </c>
      <c r="H64" s="3">
        <v>-1.0</v>
      </c>
      <c r="I64" s="11">
        <f t="shared" si="1"/>
        <v>13</v>
      </c>
      <c r="J64" s="3">
        <v>80.0</v>
      </c>
    </row>
    <row r="65" ht="15.75" customHeight="1">
      <c r="A65" s="3">
        <v>54.0</v>
      </c>
      <c r="B65" s="10" t="s">
        <v>121</v>
      </c>
      <c r="C65" s="10" t="s">
        <v>13</v>
      </c>
      <c r="D65" s="10" t="s">
        <v>14</v>
      </c>
      <c r="E65" s="3">
        <v>7.0</v>
      </c>
      <c r="F65" s="3">
        <v>6.0</v>
      </c>
      <c r="G65" s="3">
        <v>5.0</v>
      </c>
      <c r="H65" s="3">
        <v>-1.0</v>
      </c>
      <c r="I65" s="11">
        <f t="shared" si="1"/>
        <v>13</v>
      </c>
      <c r="J65" s="3">
        <v>80.0</v>
      </c>
    </row>
    <row r="66" ht="15.75" customHeight="1">
      <c r="A66" s="3">
        <v>80.0</v>
      </c>
      <c r="B66" s="10" t="s">
        <v>92</v>
      </c>
      <c r="C66" s="10" t="s">
        <v>11</v>
      </c>
      <c r="D66" s="10" t="s">
        <v>14</v>
      </c>
      <c r="E66" s="3">
        <v>7.0</v>
      </c>
      <c r="F66" s="3">
        <v>6.0</v>
      </c>
      <c r="G66" s="3">
        <v>4.0</v>
      </c>
      <c r="H66" s="3">
        <v>-1.0</v>
      </c>
      <c r="I66" s="11">
        <f t="shared" si="1"/>
        <v>13</v>
      </c>
      <c r="J66" s="3">
        <v>80.0</v>
      </c>
    </row>
    <row r="67" ht="15.75" customHeight="1">
      <c r="A67" s="3">
        <v>87.0</v>
      </c>
      <c r="B67" s="16" t="s">
        <v>77</v>
      </c>
      <c r="C67" s="15" t="s">
        <v>11</v>
      </c>
      <c r="D67" s="15" t="s">
        <v>11</v>
      </c>
      <c r="E67" s="15">
        <v>7.0</v>
      </c>
      <c r="F67" s="15">
        <v>6.0</v>
      </c>
      <c r="G67" s="15">
        <v>4.0</v>
      </c>
      <c r="H67" s="15">
        <v>-1.0</v>
      </c>
      <c r="I67" s="11">
        <f t="shared" si="1"/>
        <v>13</v>
      </c>
      <c r="J67" s="15">
        <v>80.0</v>
      </c>
    </row>
    <row r="68" ht="15.75" customHeight="1">
      <c r="A68" s="3">
        <v>108.0</v>
      </c>
      <c r="B68" s="10" t="s">
        <v>64</v>
      </c>
      <c r="C68" s="10" t="s">
        <v>13</v>
      </c>
      <c r="D68" s="10" t="s">
        <v>14</v>
      </c>
      <c r="E68" s="3">
        <v>6.0</v>
      </c>
      <c r="F68" s="3">
        <v>7.0</v>
      </c>
      <c r="G68" s="3">
        <v>3.0</v>
      </c>
      <c r="H68" s="3">
        <v>1.0</v>
      </c>
      <c r="I68" s="11">
        <f t="shared" si="1"/>
        <v>13</v>
      </c>
      <c r="J68" s="3">
        <v>80.0</v>
      </c>
    </row>
    <row r="69" ht="15.75" customHeight="1">
      <c r="A69" s="3">
        <v>150.0</v>
      </c>
      <c r="B69" s="10" t="s">
        <v>139</v>
      </c>
      <c r="C69" s="10" t="s">
        <v>11</v>
      </c>
      <c r="D69" s="10" t="s">
        <v>14</v>
      </c>
      <c r="E69" s="3">
        <v>7.0</v>
      </c>
      <c r="F69" s="3">
        <v>6.0</v>
      </c>
      <c r="G69" s="3">
        <v>5.0</v>
      </c>
      <c r="H69" s="3">
        <v>1.0</v>
      </c>
      <c r="I69" s="11">
        <f t="shared" si="1"/>
        <v>13</v>
      </c>
      <c r="J69" s="3">
        <v>80.0</v>
      </c>
    </row>
    <row r="70" ht="15.75" customHeight="1">
      <c r="A70" s="3">
        <v>42.0</v>
      </c>
      <c r="B70" s="10" t="s">
        <v>163</v>
      </c>
      <c r="C70" s="10" t="s">
        <v>11</v>
      </c>
      <c r="D70" s="10" t="s">
        <v>14</v>
      </c>
      <c r="E70" s="3">
        <v>8.0</v>
      </c>
      <c r="F70" s="3">
        <v>5.0</v>
      </c>
      <c r="G70" s="3">
        <v>7.0</v>
      </c>
      <c r="H70" s="3">
        <v>1.0</v>
      </c>
      <c r="I70" s="11">
        <f t="shared" si="1"/>
        <v>13</v>
      </c>
      <c r="J70" s="3">
        <v>60.0</v>
      </c>
    </row>
    <row r="71" ht="15.75" customHeight="1">
      <c r="A71" s="3">
        <v>46.0</v>
      </c>
      <c r="B71" s="10" t="s">
        <v>29</v>
      </c>
      <c r="C71" s="10" t="s">
        <v>11</v>
      </c>
      <c r="D71" s="10" t="s">
        <v>14</v>
      </c>
      <c r="E71" s="3">
        <v>6.0</v>
      </c>
      <c r="F71" s="3">
        <v>7.0</v>
      </c>
      <c r="G71" s="3">
        <v>2.0</v>
      </c>
      <c r="H71" s="3">
        <v>-1.0</v>
      </c>
      <c r="I71" s="11">
        <f t="shared" si="1"/>
        <v>13</v>
      </c>
      <c r="J71" s="3">
        <v>60.0</v>
      </c>
    </row>
    <row r="72" ht="15.75" customHeight="1">
      <c r="A72" s="3">
        <v>133.0</v>
      </c>
      <c r="B72" s="10" t="s">
        <v>167</v>
      </c>
      <c r="C72" s="10" t="s">
        <v>11</v>
      </c>
      <c r="D72" s="10" t="s">
        <v>14</v>
      </c>
      <c r="E72" s="3">
        <v>6.0</v>
      </c>
      <c r="F72" s="3">
        <v>7.0</v>
      </c>
      <c r="G72" s="3">
        <v>7.0</v>
      </c>
      <c r="H72" s="3">
        <v>1.0</v>
      </c>
      <c r="I72" s="11">
        <f t="shared" si="1"/>
        <v>13</v>
      </c>
      <c r="J72" s="3">
        <v>60.0</v>
      </c>
    </row>
    <row r="73" ht="15.75" customHeight="1">
      <c r="A73" s="3">
        <v>152.0</v>
      </c>
      <c r="B73" s="10" t="s">
        <v>140</v>
      </c>
      <c r="C73" s="10" t="s">
        <v>11</v>
      </c>
      <c r="D73" s="10" t="s">
        <v>14</v>
      </c>
      <c r="E73" s="3">
        <v>6.0</v>
      </c>
      <c r="F73" s="3">
        <v>7.0</v>
      </c>
      <c r="G73" s="3">
        <v>5.0</v>
      </c>
      <c r="H73" s="3">
        <v>1.0</v>
      </c>
      <c r="I73" s="11">
        <f t="shared" si="1"/>
        <v>13</v>
      </c>
      <c r="J73" s="3">
        <v>60.0</v>
      </c>
    </row>
    <row r="74" ht="15.75" customHeight="1">
      <c r="A74" s="3">
        <v>24.0</v>
      </c>
      <c r="B74" s="10" t="s">
        <v>27</v>
      </c>
      <c r="C74" s="10" t="s">
        <v>13</v>
      </c>
      <c r="D74" s="10" t="s">
        <v>14</v>
      </c>
      <c r="E74" s="3">
        <v>6.0</v>
      </c>
      <c r="F74" s="3">
        <v>6.0</v>
      </c>
      <c r="G74" s="3">
        <v>2.0</v>
      </c>
      <c r="H74" s="3">
        <v>1.0</v>
      </c>
      <c r="I74" s="11">
        <f t="shared" si="1"/>
        <v>12</v>
      </c>
      <c r="J74" s="3">
        <v>80.0</v>
      </c>
    </row>
    <row r="75" ht="15.75" customHeight="1">
      <c r="A75" s="3">
        <v>34.0</v>
      </c>
      <c r="B75" s="10" t="s">
        <v>51</v>
      </c>
      <c r="C75" s="10" t="s">
        <v>11</v>
      </c>
      <c r="D75" s="10" t="s">
        <v>14</v>
      </c>
      <c r="E75" s="3">
        <v>7.0</v>
      </c>
      <c r="F75" s="3">
        <v>5.0</v>
      </c>
      <c r="G75" s="3">
        <v>3.0</v>
      </c>
      <c r="H75" s="3">
        <v>1.0</v>
      </c>
      <c r="I75" s="11">
        <f t="shared" si="1"/>
        <v>12</v>
      </c>
      <c r="J75" s="3">
        <v>80.0</v>
      </c>
    </row>
    <row r="76" ht="15.75" customHeight="1">
      <c r="A76" s="3">
        <v>55.0</v>
      </c>
      <c r="B76" s="10" t="s">
        <v>122</v>
      </c>
      <c r="C76" s="10" t="s">
        <v>11</v>
      </c>
      <c r="D76" s="10" t="s">
        <v>14</v>
      </c>
      <c r="E76" s="3">
        <v>7.0</v>
      </c>
      <c r="F76" s="3">
        <v>5.0</v>
      </c>
      <c r="G76" s="3">
        <v>5.0</v>
      </c>
      <c r="H76" s="3">
        <v>1.0</v>
      </c>
      <c r="I76" s="11">
        <f t="shared" si="1"/>
        <v>12</v>
      </c>
      <c r="J76" s="3">
        <v>80.0</v>
      </c>
    </row>
    <row r="77" ht="15.75" customHeight="1">
      <c r="A77" s="3">
        <v>63.0</v>
      </c>
      <c r="B77" s="10" t="s">
        <v>33</v>
      </c>
      <c r="C77" s="10" t="s">
        <v>11</v>
      </c>
      <c r="D77" s="10" t="s">
        <v>14</v>
      </c>
      <c r="E77" s="3">
        <v>6.0</v>
      </c>
      <c r="F77" s="3">
        <v>6.0</v>
      </c>
      <c r="G77" s="3">
        <v>2.0</v>
      </c>
      <c r="H77" s="3">
        <v>1.0</v>
      </c>
      <c r="I77" s="11">
        <f t="shared" si="1"/>
        <v>12</v>
      </c>
      <c r="J77" s="3">
        <v>80.0</v>
      </c>
    </row>
    <row r="78" ht="15.75" customHeight="1">
      <c r="A78" s="3">
        <v>69.0</v>
      </c>
      <c r="B78" s="10" t="s">
        <v>108</v>
      </c>
      <c r="C78" s="10" t="s">
        <v>11</v>
      </c>
      <c r="D78" s="10" t="s">
        <v>11</v>
      </c>
      <c r="E78" s="3">
        <v>7.0</v>
      </c>
      <c r="F78" s="3">
        <v>5.0</v>
      </c>
      <c r="G78" s="3">
        <v>5.0</v>
      </c>
      <c r="H78" s="3">
        <v>1.0</v>
      </c>
      <c r="I78" s="11">
        <f t="shared" si="1"/>
        <v>12</v>
      </c>
      <c r="J78" s="3">
        <v>80.0</v>
      </c>
    </row>
    <row r="79" ht="15.75" customHeight="1">
      <c r="A79" s="3">
        <v>114.0</v>
      </c>
      <c r="B79" s="10" t="s">
        <v>44</v>
      </c>
      <c r="C79" s="10" t="s">
        <v>13</v>
      </c>
      <c r="D79" s="10" t="s">
        <v>11</v>
      </c>
      <c r="E79" s="3">
        <v>7.0</v>
      </c>
      <c r="F79" s="3">
        <v>5.0</v>
      </c>
      <c r="G79" s="3">
        <v>3.0</v>
      </c>
      <c r="H79" s="3">
        <v>-1.0</v>
      </c>
      <c r="I79" s="11">
        <f t="shared" si="1"/>
        <v>12</v>
      </c>
      <c r="J79" s="3">
        <v>80.0</v>
      </c>
    </row>
    <row r="80" ht="15.75" customHeight="1">
      <c r="A80" s="3">
        <v>36.0</v>
      </c>
      <c r="B80" s="10" t="s">
        <v>149</v>
      </c>
      <c r="C80" s="10" t="s">
        <v>11</v>
      </c>
      <c r="D80" s="10" t="s">
        <v>14</v>
      </c>
      <c r="E80" s="3">
        <v>6.0</v>
      </c>
      <c r="F80" s="3">
        <v>6.0</v>
      </c>
      <c r="G80" s="3">
        <v>6.0</v>
      </c>
      <c r="H80" s="3">
        <v>1.0</v>
      </c>
      <c r="I80" s="11">
        <f t="shared" si="1"/>
        <v>12</v>
      </c>
      <c r="J80" s="3">
        <v>60.0</v>
      </c>
    </row>
    <row r="81" ht="15.75" customHeight="1">
      <c r="A81" s="3">
        <v>39.0</v>
      </c>
      <c r="B81" s="10" t="s">
        <v>52</v>
      </c>
      <c r="C81" s="10" t="s">
        <v>13</v>
      </c>
      <c r="D81" s="10" t="s">
        <v>14</v>
      </c>
      <c r="E81" s="3">
        <v>6.0</v>
      </c>
      <c r="F81" s="3">
        <v>6.0</v>
      </c>
      <c r="G81" s="3">
        <v>3.0</v>
      </c>
      <c r="H81" s="3">
        <v>-1.0</v>
      </c>
      <c r="I81" s="11">
        <f t="shared" si="1"/>
        <v>12</v>
      </c>
      <c r="J81" s="3">
        <v>60.0</v>
      </c>
    </row>
    <row r="82" ht="15.75" customHeight="1">
      <c r="A82" s="3">
        <v>43.0</v>
      </c>
      <c r="B82" s="10" t="s">
        <v>54</v>
      </c>
      <c r="C82" s="10" t="s">
        <v>13</v>
      </c>
      <c r="D82" s="10" t="s">
        <v>14</v>
      </c>
      <c r="E82" s="3">
        <v>4.0</v>
      </c>
      <c r="F82" s="3">
        <v>8.0</v>
      </c>
      <c r="G82" s="3">
        <v>3.0</v>
      </c>
      <c r="H82" s="3">
        <v>1.0</v>
      </c>
      <c r="I82" s="11">
        <f t="shared" si="1"/>
        <v>12</v>
      </c>
      <c r="J82" s="3">
        <v>60.0</v>
      </c>
    </row>
    <row r="83" ht="15.75" customHeight="1">
      <c r="A83" s="3">
        <v>47.0</v>
      </c>
      <c r="B83" s="15" t="s">
        <v>43</v>
      </c>
      <c r="C83" s="15" t="s">
        <v>11</v>
      </c>
      <c r="D83" s="15" t="s">
        <v>11</v>
      </c>
      <c r="E83" s="15">
        <v>6.0</v>
      </c>
      <c r="F83" s="15">
        <v>6.0</v>
      </c>
      <c r="G83" s="15">
        <v>3.0</v>
      </c>
      <c r="H83" s="15">
        <v>-1.0</v>
      </c>
      <c r="I83" s="11">
        <f t="shared" si="1"/>
        <v>12</v>
      </c>
      <c r="J83" s="15">
        <v>60.0</v>
      </c>
    </row>
    <row r="84" ht="15.75" customHeight="1">
      <c r="A84" s="3">
        <v>61.0</v>
      </c>
      <c r="B84" s="10" t="s">
        <v>31</v>
      </c>
      <c r="C84" s="10" t="s">
        <v>11</v>
      </c>
      <c r="D84" s="10" t="s">
        <v>14</v>
      </c>
      <c r="E84" s="3">
        <v>6.0</v>
      </c>
      <c r="F84" s="3">
        <v>6.0</v>
      </c>
      <c r="G84" s="3">
        <v>2.0</v>
      </c>
      <c r="H84" s="3">
        <v>1.0</v>
      </c>
      <c r="I84" s="11">
        <f t="shared" si="1"/>
        <v>12</v>
      </c>
      <c r="J84" s="3">
        <v>60.0</v>
      </c>
    </row>
    <row r="85" ht="15.75" customHeight="1">
      <c r="A85" s="3">
        <v>68.0</v>
      </c>
      <c r="B85" s="10" t="s">
        <v>87</v>
      </c>
      <c r="C85" s="10" t="s">
        <v>13</v>
      </c>
      <c r="D85" s="10" t="s">
        <v>14</v>
      </c>
      <c r="E85" s="3">
        <v>7.0</v>
      </c>
      <c r="F85" s="3">
        <v>5.0</v>
      </c>
      <c r="G85" s="3">
        <v>4.0</v>
      </c>
      <c r="H85" s="3">
        <v>-1.0</v>
      </c>
      <c r="I85" s="11">
        <f t="shared" si="1"/>
        <v>12</v>
      </c>
      <c r="J85" s="3">
        <v>60.0</v>
      </c>
    </row>
    <row r="86" ht="15.75" customHeight="1">
      <c r="A86" s="3">
        <v>81.0</v>
      </c>
      <c r="B86" s="10" t="s">
        <v>18</v>
      </c>
      <c r="C86" s="10" t="s">
        <v>11</v>
      </c>
      <c r="D86" s="10" t="s">
        <v>14</v>
      </c>
      <c r="E86" s="3">
        <v>6.0</v>
      </c>
      <c r="F86" s="3">
        <v>6.0</v>
      </c>
      <c r="G86" s="3">
        <v>1.0</v>
      </c>
      <c r="H86" s="3">
        <v>-1.0</v>
      </c>
      <c r="I86" s="11">
        <f t="shared" si="1"/>
        <v>12</v>
      </c>
      <c r="J86" s="3">
        <v>60.0</v>
      </c>
    </row>
    <row r="87" ht="15.75" customHeight="1">
      <c r="A87" s="3">
        <v>95.0</v>
      </c>
      <c r="B87" s="10" t="s">
        <v>109</v>
      </c>
      <c r="C87" s="10" t="s">
        <v>11</v>
      </c>
      <c r="D87" s="10" t="s">
        <v>11</v>
      </c>
      <c r="E87" s="3">
        <v>6.0</v>
      </c>
      <c r="F87" s="3">
        <v>6.0</v>
      </c>
      <c r="G87" s="3">
        <v>5.0</v>
      </c>
      <c r="H87" s="3">
        <v>-1.0</v>
      </c>
      <c r="I87" s="11">
        <f t="shared" si="1"/>
        <v>12</v>
      </c>
      <c r="J87" s="3">
        <v>60.0</v>
      </c>
    </row>
    <row r="88" ht="15.75" customHeight="1">
      <c r="A88" s="3">
        <v>96.0</v>
      </c>
      <c r="B88" s="10" t="s">
        <v>155</v>
      </c>
      <c r="C88" s="10" t="s">
        <v>11</v>
      </c>
      <c r="D88" s="10" t="s">
        <v>14</v>
      </c>
      <c r="E88" s="3">
        <v>7.0</v>
      </c>
      <c r="F88" s="3">
        <v>5.0</v>
      </c>
      <c r="G88" s="3">
        <v>6.0</v>
      </c>
      <c r="H88" s="3">
        <v>1.0</v>
      </c>
      <c r="I88" s="11">
        <f t="shared" si="1"/>
        <v>12</v>
      </c>
      <c r="J88" s="3">
        <v>60.0</v>
      </c>
    </row>
    <row r="89" ht="15.75" customHeight="1">
      <c r="A89" s="3">
        <v>106.0</v>
      </c>
      <c r="B89" s="10" t="s">
        <v>63</v>
      </c>
      <c r="C89" s="10" t="s">
        <v>13</v>
      </c>
      <c r="D89" s="10" t="s">
        <v>14</v>
      </c>
      <c r="E89" s="3">
        <v>7.0</v>
      </c>
      <c r="F89" s="3">
        <v>5.0</v>
      </c>
      <c r="G89" s="3">
        <v>3.0</v>
      </c>
      <c r="H89" s="3">
        <v>-1.0</v>
      </c>
      <c r="I89" s="11">
        <f t="shared" si="1"/>
        <v>12</v>
      </c>
      <c r="J89" s="3">
        <v>60.0</v>
      </c>
    </row>
    <row r="90" ht="15.75" customHeight="1">
      <c r="A90" s="3">
        <v>109.0</v>
      </c>
      <c r="B90" s="10" t="s">
        <v>98</v>
      </c>
      <c r="C90" s="10" t="s">
        <v>13</v>
      </c>
      <c r="D90" s="10" t="s">
        <v>14</v>
      </c>
      <c r="E90" s="3">
        <v>6.0</v>
      </c>
      <c r="F90" s="3">
        <v>6.0</v>
      </c>
      <c r="G90" s="3">
        <v>4.0</v>
      </c>
      <c r="H90" s="3">
        <v>1.0</v>
      </c>
      <c r="I90" s="11">
        <f t="shared" si="1"/>
        <v>12</v>
      </c>
      <c r="J90" s="3">
        <v>60.0</v>
      </c>
    </row>
    <row r="91" ht="15.75" customHeight="1">
      <c r="A91" s="3">
        <v>110.0</v>
      </c>
      <c r="B91" s="10" t="s">
        <v>65</v>
      </c>
      <c r="C91" s="10" t="s">
        <v>13</v>
      </c>
      <c r="D91" s="10" t="s">
        <v>14</v>
      </c>
      <c r="E91" s="3">
        <v>6.0</v>
      </c>
      <c r="F91" s="3">
        <v>6.0</v>
      </c>
      <c r="G91" s="3">
        <v>3.0</v>
      </c>
      <c r="H91" s="3">
        <v>-1.0</v>
      </c>
      <c r="I91" s="11">
        <f t="shared" si="1"/>
        <v>12</v>
      </c>
      <c r="J91" s="3">
        <v>60.0</v>
      </c>
    </row>
    <row r="92" ht="15.75" customHeight="1">
      <c r="A92" s="3">
        <v>120.0</v>
      </c>
      <c r="B92" s="10" t="s">
        <v>130</v>
      </c>
      <c r="C92" s="10" t="s">
        <v>13</v>
      </c>
      <c r="D92" s="10" t="s">
        <v>14</v>
      </c>
      <c r="E92" s="3">
        <v>6.0</v>
      </c>
      <c r="F92" s="3">
        <v>6.0</v>
      </c>
      <c r="G92" s="3">
        <v>5.0</v>
      </c>
      <c r="H92" s="3">
        <v>-1.0</v>
      </c>
      <c r="I92" s="11">
        <f t="shared" si="1"/>
        <v>12</v>
      </c>
      <c r="J92" s="3">
        <v>60.0</v>
      </c>
    </row>
    <row r="93" ht="15.75" customHeight="1">
      <c r="A93" s="3">
        <v>127.0</v>
      </c>
      <c r="B93" s="10" t="s">
        <v>45</v>
      </c>
      <c r="C93" s="10" t="s">
        <v>13</v>
      </c>
      <c r="D93" s="10" t="s">
        <v>11</v>
      </c>
      <c r="E93" s="3">
        <v>6.0</v>
      </c>
      <c r="F93" s="3">
        <v>6.0</v>
      </c>
      <c r="G93" s="3">
        <v>3.0</v>
      </c>
      <c r="H93" s="3">
        <v>-1.0</v>
      </c>
      <c r="I93" s="11">
        <f t="shared" si="1"/>
        <v>12</v>
      </c>
      <c r="J93" s="3">
        <v>60.0</v>
      </c>
    </row>
    <row r="94" ht="15.75" customHeight="1">
      <c r="A94" s="3">
        <v>130.0</v>
      </c>
      <c r="B94" s="10" t="s">
        <v>70</v>
      </c>
      <c r="C94" s="10" t="s">
        <v>13</v>
      </c>
      <c r="D94" s="10" t="s">
        <v>14</v>
      </c>
      <c r="E94" s="3">
        <v>6.0</v>
      </c>
      <c r="F94" s="3">
        <v>6.0</v>
      </c>
      <c r="G94" s="3">
        <v>3.0</v>
      </c>
      <c r="H94" s="3">
        <v>1.0</v>
      </c>
      <c r="I94" s="11">
        <f t="shared" si="1"/>
        <v>12</v>
      </c>
      <c r="J94" s="3">
        <v>60.0</v>
      </c>
    </row>
    <row r="95" ht="15.75" customHeight="1">
      <c r="A95" s="3">
        <v>138.0</v>
      </c>
      <c r="B95" s="10" t="s">
        <v>134</v>
      </c>
      <c r="C95" s="10" t="s">
        <v>13</v>
      </c>
      <c r="D95" s="10" t="s">
        <v>14</v>
      </c>
      <c r="E95" s="3">
        <v>6.0</v>
      </c>
      <c r="F95" s="3">
        <v>6.0</v>
      </c>
      <c r="G95" s="3">
        <v>5.0</v>
      </c>
      <c r="H95" s="3">
        <v>-1.0</v>
      </c>
      <c r="I95" s="11">
        <f t="shared" si="1"/>
        <v>12</v>
      </c>
      <c r="J95" s="3">
        <v>60.0</v>
      </c>
    </row>
    <row r="96" ht="15.75" customHeight="1">
      <c r="A96" s="3">
        <v>5.0</v>
      </c>
      <c r="B96" s="10" t="s">
        <v>79</v>
      </c>
      <c r="C96" s="10" t="s">
        <v>13</v>
      </c>
      <c r="D96" s="10" t="s">
        <v>14</v>
      </c>
      <c r="E96" s="3">
        <v>6.0</v>
      </c>
      <c r="F96" s="3">
        <v>5.0</v>
      </c>
      <c r="G96" s="3">
        <v>4.0</v>
      </c>
      <c r="H96" s="3">
        <v>-1.0</v>
      </c>
      <c r="I96" s="11">
        <f t="shared" si="1"/>
        <v>11</v>
      </c>
      <c r="J96" s="3">
        <v>60.0</v>
      </c>
    </row>
    <row r="97" ht="15.75" customHeight="1">
      <c r="A97" s="3">
        <v>6.0</v>
      </c>
      <c r="B97" s="10" t="s">
        <v>143</v>
      </c>
      <c r="C97" s="10" t="s">
        <v>11</v>
      </c>
      <c r="D97" s="10" t="s">
        <v>14</v>
      </c>
      <c r="E97" s="3">
        <v>5.0</v>
      </c>
      <c r="F97" s="3">
        <v>6.0</v>
      </c>
      <c r="G97" s="3">
        <v>6.0</v>
      </c>
      <c r="H97" s="3">
        <v>1.0</v>
      </c>
      <c r="I97" s="11">
        <f t="shared" si="1"/>
        <v>11</v>
      </c>
      <c r="J97" s="3">
        <v>60.0</v>
      </c>
    </row>
    <row r="98" ht="15.75" customHeight="1">
      <c r="A98" s="3">
        <v>13.0</v>
      </c>
      <c r="B98" s="10" t="s">
        <v>48</v>
      </c>
      <c r="C98" s="10" t="s">
        <v>13</v>
      </c>
      <c r="D98" s="10" t="s">
        <v>14</v>
      </c>
      <c r="E98" s="3">
        <v>5.0</v>
      </c>
      <c r="F98" s="3">
        <v>6.0</v>
      </c>
      <c r="G98" s="3">
        <v>3.0</v>
      </c>
      <c r="H98" s="3">
        <v>-1.0</v>
      </c>
      <c r="I98" s="11">
        <f t="shared" si="1"/>
        <v>11</v>
      </c>
      <c r="J98" s="3">
        <v>60.0</v>
      </c>
    </row>
    <row r="99" ht="15.75" customHeight="1">
      <c r="A99" s="3">
        <v>17.0</v>
      </c>
      <c r="B99" s="10" t="s">
        <v>106</v>
      </c>
      <c r="C99" s="10" t="s">
        <v>13</v>
      </c>
      <c r="D99" s="10" t="s">
        <v>11</v>
      </c>
      <c r="E99" s="3">
        <v>5.0</v>
      </c>
      <c r="F99" s="3">
        <v>6.0</v>
      </c>
      <c r="G99" s="3">
        <v>5.0</v>
      </c>
      <c r="H99" s="3">
        <v>-1.0</v>
      </c>
      <c r="I99" s="11">
        <f t="shared" si="1"/>
        <v>11</v>
      </c>
      <c r="J99" s="3">
        <v>60.0</v>
      </c>
    </row>
    <row r="100" ht="15.75" customHeight="1">
      <c r="A100" s="3">
        <v>26.0</v>
      </c>
      <c r="B100" s="10" t="s">
        <v>49</v>
      </c>
      <c r="C100" s="10" t="s">
        <v>13</v>
      </c>
      <c r="D100" s="10" t="s">
        <v>14</v>
      </c>
      <c r="E100" s="3">
        <v>5.0</v>
      </c>
      <c r="F100" s="3">
        <v>6.0</v>
      </c>
      <c r="G100" s="3">
        <v>3.0</v>
      </c>
      <c r="H100" s="3">
        <v>-1.0</v>
      </c>
      <c r="I100" s="11">
        <f t="shared" si="1"/>
        <v>11</v>
      </c>
      <c r="J100" s="3">
        <v>60.0</v>
      </c>
    </row>
    <row r="101" ht="15.75" customHeight="1">
      <c r="A101" s="3">
        <v>32.0</v>
      </c>
      <c r="B101" s="10" t="s">
        <v>83</v>
      </c>
      <c r="C101" s="10" t="s">
        <v>13</v>
      </c>
      <c r="D101" s="10" t="s">
        <v>14</v>
      </c>
      <c r="E101" s="3">
        <v>5.0</v>
      </c>
      <c r="F101" s="3">
        <v>6.0</v>
      </c>
      <c r="G101" s="3">
        <v>4.0</v>
      </c>
      <c r="H101" s="3">
        <v>-1.0</v>
      </c>
      <c r="I101" s="11">
        <f t="shared" si="1"/>
        <v>11</v>
      </c>
      <c r="J101" s="3">
        <v>60.0</v>
      </c>
    </row>
    <row r="102" ht="15.75" customHeight="1">
      <c r="A102" s="3">
        <v>40.0</v>
      </c>
      <c r="B102" s="10" t="s">
        <v>53</v>
      </c>
      <c r="C102" s="10" t="s">
        <v>13</v>
      </c>
      <c r="D102" s="10" t="s">
        <v>14</v>
      </c>
      <c r="E102" s="3">
        <v>6.0</v>
      </c>
      <c r="F102" s="3">
        <v>5.0</v>
      </c>
      <c r="G102" s="3">
        <v>3.0</v>
      </c>
      <c r="H102" s="3">
        <v>-1.0</v>
      </c>
      <c r="I102" s="11">
        <f t="shared" si="1"/>
        <v>11</v>
      </c>
      <c r="J102" s="3">
        <v>60.0</v>
      </c>
    </row>
    <row r="103" ht="15.75" customHeight="1">
      <c r="A103" s="3">
        <v>59.0</v>
      </c>
      <c r="B103" s="10" t="s">
        <v>57</v>
      </c>
      <c r="C103" s="10" t="s">
        <v>13</v>
      </c>
      <c r="D103" s="10" t="s">
        <v>14</v>
      </c>
      <c r="E103" s="3">
        <v>5.0</v>
      </c>
      <c r="F103" s="3">
        <v>6.0</v>
      </c>
      <c r="G103" s="3">
        <v>3.0</v>
      </c>
      <c r="H103" s="3">
        <v>1.0</v>
      </c>
      <c r="I103" s="11">
        <f t="shared" si="1"/>
        <v>11</v>
      </c>
      <c r="J103" s="3">
        <v>60.0</v>
      </c>
    </row>
    <row r="104" ht="15.75" customHeight="1">
      <c r="A104" s="3">
        <v>66.0</v>
      </c>
      <c r="B104" s="10" t="s">
        <v>86</v>
      </c>
      <c r="C104" s="10" t="s">
        <v>13</v>
      </c>
      <c r="D104" s="10" t="s">
        <v>14</v>
      </c>
      <c r="E104" s="3">
        <v>6.0</v>
      </c>
      <c r="F104" s="3">
        <v>5.0</v>
      </c>
      <c r="G104" s="3">
        <v>4.0</v>
      </c>
      <c r="H104" s="3">
        <v>-1.0</v>
      </c>
      <c r="I104" s="11">
        <f t="shared" si="1"/>
        <v>11</v>
      </c>
      <c r="J104" s="3">
        <v>60.0</v>
      </c>
    </row>
    <row r="105" ht="15.75" customHeight="1">
      <c r="A105" s="3">
        <v>75.0</v>
      </c>
      <c r="B105" s="10" t="s">
        <v>59</v>
      </c>
      <c r="C105" s="10" t="s">
        <v>13</v>
      </c>
      <c r="D105" s="10" t="s">
        <v>14</v>
      </c>
      <c r="E105" s="3">
        <v>6.0</v>
      </c>
      <c r="F105" s="3">
        <v>5.0</v>
      </c>
      <c r="G105" s="3">
        <v>3.0</v>
      </c>
      <c r="H105" s="3">
        <v>-1.0</v>
      </c>
      <c r="I105" s="11">
        <f t="shared" si="1"/>
        <v>11</v>
      </c>
      <c r="J105" s="3">
        <v>60.0</v>
      </c>
    </row>
    <row r="106" ht="15.75" customHeight="1">
      <c r="A106" s="3">
        <v>79.0</v>
      </c>
      <c r="B106" s="10" t="s">
        <v>124</v>
      </c>
      <c r="C106" s="10" t="s">
        <v>11</v>
      </c>
      <c r="D106" s="10" t="s">
        <v>14</v>
      </c>
      <c r="E106" s="3">
        <v>5.0</v>
      </c>
      <c r="F106" s="3">
        <v>6.0</v>
      </c>
      <c r="G106" s="3">
        <v>5.0</v>
      </c>
      <c r="H106" s="3">
        <v>1.0</v>
      </c>
      <c r="I106" s="11">
        <f t="shared" si="1"/>
        <v>11</v>
      </c>
      <c r="J106" s="3">
        <v>60.0</v>
      </c>
    </row>
    <row r="107" ht="15.75" customHeight="1">
      <c r="A107" s="3">
        <v>93.0</v>
      </c>
      <c r="B107" s="10" t="s">
        <v>19</v>
      </c>
      <c r="C107" s="10" t="s">
        <v>13</v>
      </c>
      <c r="D107" s="10" t="s">
        <v>14</v>
      </c>
      <c r="E107" s="3">
        <v>6.0</v>
      </c>
      <c r="F107" s="3">
        <v>5.0</v>
      </c>
      <c r="G107" s="3">
        <v>1.0</v>
      </c>
      <c r="H107" s="3">
        <v>-1.0</v>
      </c>
      <c r="I107" s="11">
        <f t="shared" si="1"/>
        <v>11</v>
      </c>
      <c r="J107" s="3">
        <v>60.0</v>
      </c>
    </row>
    <row r="108" ht="15.75" customHeight="1">
      <c r="A108" s="3">
        <v>102.0</v>
      </c>
      <c r="B108" s="10" t="s">
        <v>97</v>
      </c>
      <c r="C108" s="10" t="s">
        <v>13</v>
      </c>
      <c r="D108" s="10" t="s">
        <v>14</v>
      </c>
      <c r="E108" s="3">
        <v>5.0</v>
      </c>
      <c r="F108" s="3">
        <v>6.0</v>
      </c>
      <c r="G108" s="3">
        <v>4.0</v>
      </c>
      <c r="H108" s="3">
        <v>-1.0</v>
      </c>
      <c r="I108" s="11">
        <f t="shared" si="1"/>
        <v>11</v>
      </c>
      <c r="J108" s="3">
        <v>60.0</v>
      </c>
    </row>
    <row r="109" ht="15.75" customHeight="1">
      <c r="A109" s="3">
        <v>113.0</v>
      </c>
      <c r="B109" s="10" t="s">
        <v>101</v>
      </c>
      <c r="C109" s="10" t="s">
        <v>13</v>
      </c>
      <c r="D109" s="10" t="s">
        <v>14</v>
      </c>
      <c r="E109" s="3">
        <v>5.0</v>
      </c>
      <c r="F109" s="3">
        <v>6.0</v>
      </c>
      <c r="G109" s="3">
        <v>4.0</v>
      </c>
      <c r="H109" s="3">
        <v>1.0</v>
      </c>
      <c r="I109" s="11">
        <f t="shared" si="1"/>
        <v>11</v>
      </c>
      <c r="J109" s="3">
        <v>60.0</v>
      </c>
    </row>
    <row r="110" ht="15.75" customHeight="1">
      <c r="A110" s="3">
        <v>116.0</v>
      </c>
      <c r="B110" s="10" t="s">
        <v>66</v>
      </c>
      <c r="C110" s="10" t="s">
        <v>11</v>
      </c>
      <c r="D110" s="10" t="s">
        <v>14</v>
      </c>
      <c r="E110" s="3">
        <v>6.0</v>
      </c>
      <c r="F110" s="3">
        <v>5.0</v>
      </c>
      <c r="G110" s="3">
        <v>3.0</v>
      </c>
      <c r="H110" s="3">
        <v>-1.0</v>
      </c>
      <c r="I110" s="11">
        <f t="shared" si="1"/>
        <v>11</v>
      </c>
      <c r="J110" s="3">
        <v>60.0</v>
      </c>
    </row>
    <row r="111" ht="15.75" customHeight="1">
      <c r="A111" s="3">
        <v>129.0</v>
      </c>
      <c r="B111" s="10" t="s">
        <v>132</v>
      </c>
      <c r="C111" s="10" t="s">
        <v>11</v>
      </c>
      <c r="D111" s="10" t="s">
        <v>14</v>
      </c>
      <c r="E111" s="3">
        <v>6.0</v>
      </c>
      <c r="F111" s="3">
        <v>5.0</v>
      </c>
      <c r="G111" s="3">
        <v>5.0</v>
      </c>
      <c r="H111" s="3">
        <v>-1.0</v>
      </c>
      <c r="I111" s="11">
        <f t="shared" si="1"/>
        <v>11</v>
      </c>
      <c r="J111" s="3">
        <v>60.0</v>
      </c>
    </row>
    <row r="112" ht="15.75" customHeight="1">
      <c r="A112" s="3">
        <v>131.0</v>
      </c>
      <c r="B112" s="10" t="s">
        <v>171</v>
      </c>
      <c r="C112" s="10" t="s">
        <v>11</v>
      </c>
      <c r="D112" s="10" t="s">
        <v>14</v>
      </c>
      <c r="E112" s="3">
        <v>7.0</v>
      </c>
      <c r="F112" s="3">
        <v>4.0</v>
      </c>
      <c r="G112" s="3">
        <v>8.0</v>
      </c>
      <c r="H112" s="3">
        <v>1.0</v>
      </c>
      <c r="I112" s="11">
        <f t="shared" si="1"/>
        <v>11</v>
      </c>
      <c r="J112" s="3">
        <v>60.0</v>
      </c>
    </row>
    <row r="113" ht="15.75" customHeight="1">
      <c r="A113" s="3">
        <v>144.0</v>
      </c>
      <c r="B113" s="10" t="s">
        <v>158</v>
      </c>
      <c r="C113" s="10" t="s">
        <v>11</v>
      </c>
      <c r="D113" s="10" t="s">
        <v>14</v>
      </c>
      <c r="E113" s="3">
        <v>6.0</v>
      </c>
      <c r="F113" s="3">
        <v>5.0</v>
      </c>
      <c r="G113" s="3">
        <v>6.0</v>
      </c>
      <c r="H113" s="3">
        <v>1.0</v>
      </c>
      <c r="I113" s="11">
        <f t="shared" si="1"/>
        <v>11</v>
      </c>
      <c r="J113" s="3">
        <v>60.0</v>
      </c>
    </row>
    <row r="114" ht="15.75" customHeight="1">
      <c r="A114" s="3">
        <v>145.0</v>
      </c>
      <c r="B114" s="10" t="s">
        <v>159</v>
      </c>
      <c r="C114" s="10" t="s">
        <v>11</v>
      </c>
      <c r="D114" s="10" t="s">
        <v>14</v>
      </c>
      <c r="E114" s="3">
        <v>6.0</v>
      </c>
      <c r="F114" s="3">
        <v>5.0</v>
      </c>
      <c r="G114" s="3">
        <v>6.0</v>
      </c>
      <c r="H114" s="3">
        <v>1.0</v>
      </c>
      <c r="I114" s="11">
        <f t="shared" si="1"/>
        <v>11</v>
      </c>
      <c r="J114" s="3">
        <v>60.0</v>
      </c>
    </row>
    <row r="115" ht="15.75" customHeight="1">
      <c r="A115" s="3">
        <v>159.0</v>
      </c>
      <c r="B115" s="10" t="s">
        <v>40</v>
      </c>
      <c r="C115" s="10" t="s">
        <v>13</v>
      </c>
      <c r="D115" s="10" t="s">
        <v>14</v>
      </c>
      <c r="E115" s="3">
        <v>5.0</v>
      </c>
      <c r="F115" s="3">
        <v>6.0</v>
      </c>
      <c r="G115" s="3">
        <v>2.0</v>
      </c>
      <c r="H115" s="3">
        <v>1.0</v>
      </c>
      <c r="I115" s="11">
        <f t="shared" si="1"/>
        <v>11</v>
      </c>
      <c r="J115" s="3">
        <v>60.0</v>
      </c>
    </row>
    <row r="116" ht="15.75" customHeight="1">
      <c r="A116" s="3">
        <v>19.0</v>
      </c>
      <c r="B116" s="10" t="s">
        <v>17</v>
      </c>
      <c r="C116" s="10" t="s">
        <v>13</v>
      </c>
      <c r="D116" s="10" t="s">
        <v>14</v>
      </c>
      <c r="E116" s="3">
        <v>5.0</v>
      </c>
      <c r="F116" s="3">
        <v>5.0</v>
      </c>
      <c r="G116" s="3">
        <v>1.0</v>
      </c>
      <c r="H116" s="3">
        <v>1.0</v>
      </c>
      <c r="I116" s="11">
        <f t="shared" si="1"/>
        <v>10</v>
      </c>
      <c r="J116" s="3">
        <v>60.0</v>
      </c>
    </row>
    <row r="117" ht="15.75" customHeight="1">
      <c r="A117" s="3">
        <v>21.0</v>
      </c>
      <c r="B117" s="10" t="s">
        <v>81</v>
      </c>
      <c r="C117" s="10" t="s">
        <v>11</v>
      </c>
      <c r="D117" s="10" t="s">
        <v>14</v>
      </c>
      <c r="E117" s="3">
        <v>5.0</v>
      </c>
      <c r="F117" s="3">
        <v>5.0</v>
      </c>
      <c r="G117" s="3">
        <v>4.0</v>
      </c>
      <c r="H117" s="3">
        <v>1.0</v>
      </c>
      <c r="I117" s="11">
        <f t="shared" si="1"/>
        <v>10</v>
      </c>
      <c r="J117" s="3">
        <v>60.0</v>
      </c>
    </row>
    <row r="118" ht="15.75" customHeight="1">
      <c r="A118" s="3">
        <v>23.0</v>
      </c>
      <c r="B118" s="10" t="s">
        <v>22</v>
      </c>
      <c r="C118" s="10" t="s">
        <v>11</v>
      </c>
      <c r="D118" s="10" t="s">
        <v>11</v>
      </c>
      <c r="E118" s="3">
        <v>5.0</v>
      </c>
      <c r="F118" s="3">
        <v>5.0</v>
      </c>
      <c r="G118" s="3">
        <v>2.0</v>
      </c>
      <c r="H118" s="3">
        <v>-1.0</v>
      </c>
      <c r="I118" s="11">
        <f t="shared" si="1"/>
        <v>10</v>
      </c>
      <c r="J118" s="3">
        <v>60.0</v>
      </c>
    </row>
    <row r="119" ht="15.75" customHeight="1">
      <c r="A119" s="3">
        <v>25.0</v>
      </c>
      <c r="B119" s="10" t="s">
        <v>28</v>
      </c>
      <c r="C119" s="10" t="s">
        <v>13</v>
      </c>
      <c r="D119" s="10" t="s">
        <v>14</v>
      </c>
      <c r="E119" s="3">
        <v>5.0</v>
      </c>
      <c r="F119" s="3">
        <v>5.0</v>
      </c>
      <c r="G119" s="3">
        <v>2.0</v>
      </c>
      <c r="H119" s="3">
        <v>1.0</v>
      </c>
      <c r="I119" s="11">
        <f t="shared" si="1"/>
        <v>10</v>
      </c>
      <c r="J119" s="3">
        <v>60.0</v>
      </c>
    </row>
    <row r="120" ht="15.75" customHeight="1">
      <c r="A120" s="3">
        <v>58.0</v>
      </c>
      <c r="B120" s="10" t="s">
        <v>107</v>
      </c>
      <c r="C120" s="10" t="s">
        <v>13</v>
      </c>
      <c r="D120" s="10" t="s">
        <v>11</v>
      </c>
      <c r="E120" s="3">
        <v>6.0</v>
      </c>
      <c r="F120" s="3">
        <v>4.0</v>
      </c>
      <c r="G120" s="3">
        <v>5.0</v>
      </c>
      <c r="H120" s="3">
        <v>-1.0</v>
      </c>
      <c r="I120" s="11">
        <f t="shared" si="1"/>
        <v>10</v>
      </c>
      <c r="J120" s="3">
        <v>60.0</v>
      </c>
    </row>
    <row r="121" ht="15.75" customHeight="1">
      <c r="A121" s="3">
        <v>65.0</v>
      </c>
      <c r="B121" s="10" t="s">
        <v>58</v>
      </c>
      <c r="C121" s="10" t="s">
        <v>11</v>
      </c>
      <c r="D121" s="10" t="s">
        <v>14</v>
      </c>
      <c r="E121" s="3">
        <v>5.0</v>
      </c>
      <c r="F121" s="3">
        <v>5.0</v>
      </c>
      <c r="G121" s="3">
        <v>3.0</v>
      </c>
      <c r="H121" s="3">
        <v>-1.0</v>
      </c>
      <c r="I121" s="11">
        <f t="shared" si="1"/>
        <v>10</v>
      </c>
      <c r="J121" s="3">
        <v>60.0</v>
      </c>
    </row>
    <row r="122" ht="15.75" customHeight="1">
      <c r="A122" s="3">
        <v>77.0</v>
      </c>
      <c r="B122" s="10" t="s">
        <v>23</v>
      </c>
      <c r="C122" s="10" t="s">
        <v>13</v>
      </c>
      <c r="D122" s="10" t="s">
        <v>11</v>
      </c>
      <c r="E122" s="3">
        <v>5.0</v>
      </c>
      <c r="F122" s="3">
        <v>5.0</v>
      </c>
      <c r="G122" s="3">
        <v>2.0</v>
      </c>
      <c r="H122" s="3">
        <v>1.0</v>
      </c>
      <c r="I122" s="11">
        <f t="shared" si="1"/>
        <v>10</v>
      </c>
      <c r="J122" s="3">
        <v>60.0</v>
      </c>
    </row>
    <row r="123" ht="15.75" customHeight="1">
      <c r="A123" s="3">
        <v>89.0</v>
      </c>
      <c r="B123" s="10" t="s">
        <v>37</v>
      </c>
      <c r="C123" s="10" t="s">
        <v>13</v>
      </c>
      <c r="D123" s="10" t="s">
        <v>14</v>
      </c>
      <c r="E123" s="3">
        <v>5.0</v>
      </c>
      <c r="F123" s="3">
        <v>5.0</v>
      </c>
      <c r="G123" s="3">
        <v>2.0</v>
      </c>
      <c r="H123" s="3">
        <v>1.0</v>
      </c>
      <c r="I123" s="11">
        <f t="shared" si="1"/>
        <v>10</v>
      </c>
      <c r="J123" s="3">
        <v>60.0</v>
      </c>
    </row>
    <row r="124" ht="15.75" customHeight="1">
      <c r="A124" s="3">
        <v>97.0</v>
      </c>
      <c r="B124" s="10" t="s">
        <v>95</v>
      </c>
      <c r="C124" s="10" t="s">
        <v>13</v>
      </c>
      <c r="D124" s="10" t="s">
        <v>14</v>
      </c>
      <c r="E124" s="3">
        <v>5.0</v>
      </c>
      <c r="F124" s="3">
        <v>5.0</v>
      </c>
      <c r="G124" s="3">
        <v>4.0</v>
      </c>
      <c r="H124" s="3">
        <v>-1.0</v>
      </c>
      <c r="I124" s="11">
        <f t="shared" si="1"/>
        <v>10</v>
      </c>
      <c r="J124" s="3">
        <v>60.0</v>
      </c>
    </row>
    <row r="125" ht="15.75" customHeight="1">
      <c r="A125" s="3">
        <v>98.0</v>
      </c>
      <c r="B125" s="10" t="s">
        <v>156</v>
      </c>
      <c r="C125" s="10" t="s">
        <v>11</v>
      </c>
      <c r="D125" s="10" t="s">
        <v>14</v>
      </c>
      <c r="E125" s="3">
        <v>6.0</v>
      </c>
      <c r="F125" s="3">
        <v>4.0</v>
      </c>
      <c r="G125" s="3">
        <v>6.0</v>
      </c>
      <c r="H125" s="3">
        <v>1.0</v>
      </c>
      <c r="I125" s="11">
        <f t="shared" si="1"/>
        <v>10</v>
      </c>
      <c r="J125" s="3">
        <v>60.0</v>
      </c>
    </row>
    <row r="126" ht="15.75" customHeight="1">
      <c r="A126" s="3">
        <v>104.0</v>
      </c>
      <c r="B126" s="10" t="s">
        <v>62</v>
      </c>
      <c r="C126" s="10" t="s">
        <v>13</v>
      </c>
      <c r="D126" s="10" t="s">
        <v>14</v>
      </c>
      <c r="E126" s="3">
        <v>5.0</v>
      </c>
      <c r="F126" s="3">
        <v>5.0</v>
      </c>
      <c r="G126" s="3">
        <v>3.0</v>
      </c>
      <c r="H126" s="3">
        <v>-1.0</v>
      </c>
      <c r="I126" s="11">
        <f t="shared" si="1"/>
        <v>10</v>
      </c>
      <c r="J126" s="3">
        <v>60.0</v>
      </c>
    </row>
    <row r="127" ht="15.75" customHeight="1">
      <c r="A127" s="3">
        <v>111.0</v>
      </c>
      <c r="B127" s="10" t="s">
        <v>99</v>
      </c>
      <c r="C127" s="10" t="s">
        <v>13</v>
      </c>
      <c r="D127" s="10" t="s">
        <v>14</v>
      </c>
      <c r="E127" s="3">
        <v>5.0</v>
      </c>
      <c r="F127" s="3">
        <v>5.0</v>
      </c>
      <c r="G127" s="3">
        <v>4.0</v>
      </c>
      <c r="H127" s="3">
        <v>-1.0</v>
      </c>
      <c r="I127" s="11">
        <f t="shared" si="1"/>
        <v>10</v>
      </c>
      <c r="J127" s="3">
        <v>60.0</v>
      </c>
    </row>
    <row r="128" ht="15.75" customHeight="1">
      <c r="A128" s="3">
        <v>118.0</v>
      </c>
      <c r="B128" s="10" t="s">
        <v>129</v>
      </c>
      <c r="C128" s="10" t="s">
        <v>11</v>
      </c>
      <c r="D128" s="10" t="s">
        <v>14</v>
      </c>
      <c r="E128" s="3">
        <v>5.0</v>
      </c>
      <c r="F128" s="3">
        <v>5.0</v>
      </c>
      <c r="G128" s="3">
        <v>5.0</v>
      </c>
      <c r="H128" s="3">
        <v>1.0</v>
      </c>
      <c r="I128" s="11">
        <f t="shared" si="1"/>
        <v>10</v>
      </c>
      <c r="J128" s="3">
        <v>60.0</v>
      </c>
    </row>
    <row r="129" ht="15.75" customHeight="1">
      <c r="A129" s="3">
        <v>147.0</v>
      </c>
      <c r="B129" s="10" t="s">
        <v>160</v>
      </c>
      <c r="C129" s="10" t="s">
        <v>11</v>
      </c>
      <c r="D129" s="10" t="s">
        <v>14</v>
      </c>
      <c r="E129" s="3">
        <v>4.0</v>
      </c>
      <c r="F129" s="3">
        <v>6.0</v>
      </c>
      <c r="G129" s="3">
        <v>6.0</v>
      </c>
      <c r="H129" s="3">
        <v>-1.0</v>
      </c>
      <c r="I129" s="11">
        <f t="shared" si="1"/>
        <v>10</v>
      </c>
      <c r="J129" s="3">
        <v>60.0</v>
      </c>
    </row>
    <row r="130" ht="15.75" customHeight="1">
      <c r="A130" s="3">
        <v>148.0</v>
      </c>
      <c r="B130" s="10" t="s">
        <v>104</v>
      </c>
      <c r="C130" s="10" t="s">
        <v>11</v>
      </c>
      <c r="D130" s="10" t="s">
        <v>14</v>
      </c>
      <c r="E130" s="3">
        <v>5.0</v>
      </c>
      <c r="F130" s="3">
        <v>5.0</v>
      </c>
      <c r="G130" s="3">
        <v>4.0</v>
      </c>
      <c r="H130" s="3">
        <v>1.0</v>
      </c>
      <c r="I130" s="11">
        <f t="shared" si="1"/>
        <v>10</v>
      </c>
      <c r="J130" s="3">
        <v>60.0</v>
      </c>
    </row>
    <row r="131" ht="15.75" customHeight="1">
      <c r="A131" s="3">
        <v>3.0</v>
      </c>
      <c r="B131" s="10" t="s">
        <v>46</v>
      </c>
      <c r="C131" s="10" t="s">
        <v>13</v>
      </c>
      <c r="D131" s="10" t="s">
        <v>14</v>
      </c>
      <c r="E131" s="3">
        <v>5.0</v>
      </c>
      <c r="F131" s="3">
        <v>5.0</v>
      </c>
      <c r="G131" s="3">
        <v>3.0</v>
      </c>
      <c r="H131" s="3">
        <v>1.0</v>
      </c>
      <c r="I131" s="11">
        <f t="shared" si="1"/>
        <v>10</v>
      </c>
      <c r="J131" s="3">
        <v>50.0</v>
      </c>
    </row>
    <row r="132" ht="17.25" customHeight="1">
      <c r="A132" s="3">
        <v>14.0</v>
      </c>
      <c r="B132" s="10" t="s">
        <v>114</v>
      </c>
      <c r="C132" s="10" t="s">
        <v>13</v>
      </c>
      <c r="D132" s="10" t="s">
        <v>14</v>
      </c>
      <c r="E132" s="3">
        <v>5.0</v>
      </c>
      <c r="F132" s="3">
        <v>5.0</v>
      </c>
      <c r="G132" s="3">
        <v>5.0</v>
      </c>
      <c r="H132" s="3">
        <v>-1.0</v>
      </c>
      <c r="I132" s="11">
        <f t="shared" si="1"/>
        <v>10</v>
      </c>
      <c r="J132" s="3">
        <v>50.0</v>
      </c>
    </row>
    <row r="133" ht="15.75" customHeight="1">
      <c r="A133" s="3">
        <v>27.0</v>
      </c>
      <c r="B133" s="10" t="s">
        <v>82</v>
      </c>
      <c r="C133" s="10" t="s">
        <v>13</v>
      </c>
      <c r="D133" s="10" t="s">
        <v>14</v>
      </c>
      <c r="E133" s="3">
        <v>5.0</v>
      </c>
      <c r="F133" s="3">
        <v>5.0</v>
      </c>
      <c r="G133" s="3">
        <v>4.0</v>
      </c>
      <c r="H133" s="3">
        <v>1.0</v>
      </c>
      <c r="I133" s="11">
        <f t="shared" si="1"/>
        <v>10</v>
      </c>
      <c r="J133" s="3">
        <v>50.0</v>
      </c>
    </row>
    <row r="134" ht="15.75" customHeight="1">
      <c r="A134" s="3">
        <v>107.0</v>
      </c>
      <c r="B134" s="10" t="s">
        <v>127</v>
      </c>
      <c r="C134" s="10" t="s">
        <v>11</v>
      </c>
      <c r="D134" s="10" t="s">
        <v>14</v>
      </c>
      <c r="E134" s="3">
        <v>6.0</v>
      </c>
      <c r="F134" s="3">
        <v>4.0</v>
      </c>
      <c r="G134" s="3">
        <v>5.0</v>
      </c>
      <c r="H134" s="3">
        <v>-1.0</v>
      </c>
      <c r="I134" s="11">
        <f t="shared" si="1"/>
        <v>10</v>
      </c>
      <c r="J134" s="3">
        <v>50.0</v>
      </c>
    </row>
    <row r="135" ht="15.75" customHeight="1">
      <c r="A135" s="3">
        <v>115.0</v>
      </c>
      <c r="B135" s="10" t="s">
        <v>128</v>
      </c>
      <c r="C135" s="10" t="s">
        <v>11</v>
      </c>
      <c r="D135" s="10" t="s">
        <v>14</v>
      </c>
      <c r="E135" s="3">
        <v>5.0</v>
      </c>
      <c r="F135" s="3">
        <v>5.0</v>
      </c>
      <c r="G135" s="3">
        <v>5.0</v>
      </c>
      <c r="H135" s="3">
        <v>1.0</v>
      </c>
      <c r="I135" s="11">
        <f t="shared" si="1"/>
        <v>10</v>
      </c>
      <c r="J135" s="3">
        <v>50.0</v>
      </c>
    </row>
    <row r="136" ht="15.75" customHeight="1">
      <c r="A136" s="3">
        <v>157.0</v>
      </c>
      <c r="B136" s="10" t="s">
        <v>74</v>
      </c>
      <c r="C136" s="10" t="s">
        <v>13</v>
      </c>
      <c r="D136" s="10" t="s">
        <v>14</v>
      </c>
      <c r="E136" s="3">
        <v>5.0</v>
      </c>
      <c r="F136" s="3">
        <v>5.0</v>
      </c>
      <c r="G136" s="3">
        <v>3.0</v>
      </c>
      <c r="H136" s="3">
        <v>1.0</v>
      </c>
      <c r="I136" s="11">
        <f t="shared" si="1"/>
        <v>10</v>
      </c>
      <c r="J136" s="3">
        <v>50.0</v>
      </c>
    </row>
    <row r="137" ht="15.75" customHeight="1">
      <c r="A137" s="3">
        <v>137.0</v>
      </c>
      <c r="B137" s="10" t="s">
        <v>71</v>
      </c>
      <c r="C137" s="10" t="s">
        <v>13</v>
      </c>
      <c r="D137" s="10" t="s">
        <v>14</v>
      </c>
      <c r="E137" s="3">
        <v>6.0</v>
      </c>
      <c r="F137" s="3">
        <v>3.0</v>
      </c>
      <c r="G137" s="3">
        <v>3.0</v>
      </c>
      <c r="H137" s="3">
        <v>-1.0</v>
      </c>
      <c r="I137" s="11">
        <f t="shared" si="1"/>
        <v>9</v>
      </c>
      <c r="J137" s="3">
        <v>60.0</v>
      </c>
    </row>
    <row r="138" ht="15.75" customHeight="1">
      <c r="A138" s="3">
        <v>9.0</v>
      </c>
      <c r="B138" s="10" t="s">
        <v>25</v>
      </c>
      <c r="C138" s="10" t="s">
        <v>13</v>
      </c>
      <c r="D138" s="10" t="s">
        <v>14</v>
      </c>
      <c r="E138" s="3">
        <v>4.0</v>
      </c>
      <c r="F138" s="3">
        <v>5.0</v>
      </c>
      <c r="G138" s="3">
        <v>2.0</v>
      </c>
      <c r="H138" s="3">
        <v>-1.0</v>
      </c>
      <c r="I138" s="11">
        <f t="shared" si="1"/>
        <v>9</v>
      </c>
      <c r="J138" s="3">
        <v>50.0</v>
      </c>
    </row>
    <row r="139" ht="15.75" customHeight="1">
      <c r="A139" s="3">
        <v>103.0</v>
      </c>
      <c r="B139" s="10" t="s">
        <v>111</v>
      </c>
      <c r="C139" s="10" t="s">
        <v>11</v>
      </c>
      <c r="D139" s="10" t="s">
        <v>11</v>
      </c>
      <c r="E139" s="3">
        <v>4.0</v>
      </c>
      <c r="F139" s="3">
        <v>5.0</v>
      </c>
      <c r="G139" s="3">
        <v>5.0</v>
      </c>
      <c r="H139" s="3">
        <v>-1.0</v>
      </c>
      <c r="I139" s="11">
        <f t="shared" si="1"/>
        <v>9</v>
      </c>
      <c r="J139" s="3">
        <v>50.0</v>
      </c>
    </row>
    <row r="140" ht="15.75" customHeight="1">
      <c r="A140" s="3">
        <v>112.0</v>
      </c>
      <c r="B140" s="10" t="s">
        <v>100</v>
      </c>
      <c r="C140" s="10" t="s">
        <v>13</v>
      </c>
      <c r="D140" s="10" t="s">
        <v>14</v>
      </c>
      <c r="E140" s="3">
        <v>5.0</v>
      </c>
      <c r="F140" s="3">
        <v>4.0</v>
      </c>
      <c r="G140" s="3">
        <v>4.0</v>
      </c>
      <c r="H140" s="3">
        <v>1.0</v>
      </c>
      <c r="I140" s="11">
        <f t="shared" si="1"/>
        <v>9</v>
      </c>
      <c r="J140" s="3">
        <v>50.0</v>
      </c>
    </row>
    <row r="141" ht="15.75" customHeight="1">
      <c r="A141" s="3">
        <v>123.0</v>
      </c>
      <c r="B141" s="10" t="s">
        <v>68</v>
      </c>
      <c r="C141" s="10" t="s">
        <v>13</v>
      </c>
      <c r="D141" s="10" t="s">
        <v>14</v>
      </c>
      <c r="E141" s="3">
        <v>4.0</v>
      </c>
      <c r="F141" s="3">
        <v>5.0</v>
      </c>
      <c r="G141" s="3">
        <v>3.0</v>
      </c>
      <c r="H141" s="3">
        <v>1.0</v>
      </c>
      <c r="I141" s="11">
        <f t="shared" si="1"/>
        <v>9</v>
      </c>
      <c r="J141" s="3">
        <v>50.0</v>
      </c>
    </row>
    <row r="142" ht="15.75" customHeight="1">
      <c r="A142" s="3">
        <v>134.0</v>
      </c>
      <c r="B142" s="10" t="s">
        <v>24</v>
      </c>
      <c r="C142" s="10" t="s">
        <v>11</v>
      </c>
      <c r="D142" s="10" t="s">
        <v>11</v>
      </c>
      <c r="E142" s="3">
        <v>4.0</v>
      </c>
      <c r="F142" s="3">
        <v>5.0</v>
      </c>
      <c r="G142" s="3">
        <v>2.0</v>
      </c>
      <c r="H142" s="3">
        <v>-1.0</v>
      </c>
      <c r="I142" s="11">
        <f t="shared" si="1"/>
        <v>9</v>
      </c>
      <c r="J142" s="3">
        <v>50.0</v>
      </c>
    </row>
    <row r="143" ht="15.75" customHeight="1">
      <c r="A143" s="3">
        <v>139.0</v>
      </c>
      <c r="B143" s="10" t="s">
        <v>135</v>
      </c>
      <c r="C143" s="10" t="s">
        <v>13</v>
      </c>
      <c r="D143" s="10" t="s">
        <v>14</v>
      </c>
      <c r="E143" s="3">
        <v>5.0</v>
      </c>
      <c r="F143" s="3">
        <v>4.0</v>
      </c>
      <c r="G143" s="3">
        <v>5.0</v>
      </c>
      <c r="H143" s="3">
        <v>-1.0</v>
      </c>
      <c r="I143" s="11">
        <f t="shared" si="1"/>
        <v>9</v>
      </c>
      <c r="J143" s="3">
        <v>50.0</v>
      </c>
    </row>
    <row r="144" ht="15.75" customHeight="1">
      <c r="A144" s="3">
        <v>50.0</v>
      </c>
      <c r="B144" s="10" t="s">
        <v>120</v>
      </c>
      <c r="C144" s="10" t="s">
        <v>11</v>
      </c>
      <c r="D144" s="10" t="s">
        <v>14</v>
      </c>
      <c r="E144" s="3">
        <v>5.0</v>
      </c>
      <c r="F144" s="3">
        <v>4.0</v>
      </c>
      <c r="G144" s="3">
        <v>5.0</v>
      </c>
      <c r="H144" s="3">
        <v>-1.0</v>
      </c>
      <c r="I144" s="11">
        <f t="shared" si="1"/>
        <v>9</v>
      </c>
      <c r="J144" s="3">
        <v>40.0</v>
      </c>
    </row>
    <row r="145" ht="15.75" customHeight="1">
      <c r="A145" s="3">
        <v>92.0</v>
      </c>
      <c r="B145" s="10" t="s">
        <v>154</v>
      </c>
      <c r="C145" s="10" t="s">
        <v>11</v>
      </c>
      <c r="D145" s="10" t="s">
        <v>14</v>
      </c>
      <c r="E145" s="3">
        <v>4.0</v>
      </c>
      <c r="F145" s="3">
        <v>5.0</v>
      </c>
      <c r="G145" s="3">
        <v>6.0</v>
      </c>
      <c r="H145" s="3">
        <v>1.0</v>
      </c>
      <c r="I145" s="11">
        <f t="shared" si="1"/>
        <v>9</v>
      </c>
      <c r="J145" s="3">
        <v>40.0</v>
      </c>
    </row>
    <row r="146" ht="15.75" customHeight="1">
      <c r="A146" s="3">
        <v>135.0</v>
      </c>
      <c r="B146" s="10" t="s">
        <v>103</v>
      </c>
      <c r="C146" s="10" t="s">
        <v>13</v>
      </c>
      <c r="D146" s="10" t="s">
        <v>14</v>
      </c>
      <c r="E146" s="3">
        <v>5.0</v>
      </c>
      <c r="F146" s="3">
        <v>4.0</v>
      </c>
      <c r="G146" s="3">
        <v>4.0</v>
      </c>
      <c r="H146" s="3">
        <v>1.0</v>
      </c>
      <c r="I146" s="11">
        <f t="shared" si="1"/>
        <v>9</v>
      </c>
      <c r="J146" s="3">
        <v>40.0</v>
      </c>
    </row>
    <row r="147" ht="15.75" customHeight="1">
      <c r="A147" s="3">
        <v>10.0</v>
      </c>
      <c r="B147" s="15" t="s">
        <v>41</v>
      </c>
      <c r="C147" s="15" t="s">
        <v>11</v>
      </c>
      <c r="D147" s="15" t="s">
        <v>11</v>
      </c>
      <c r="E147" s="15">
        <v>4.0</v>
      </c>
      <c r="F147" s="15">
        <v>4.0</v>
      </c>
      <c r="G147" s="15">
        <v>3.0</v>
      </c>
      <c r="H147" s="15">
        <v>1.0</v>
      </c>
      <c r="I147" s="11">
        <f t="shared" si="1"/>
        <v>8</v>
      </c>
      <c r="J147" s="15">
        <v>50.0</v>
      </c>
    </row>
    <row r="148" ht="15.75" customHeight="1">
      <c r="A148" s="3">
        <v>126.0</v>
      </c>
      <c r="B148" s="10" t="s">
        <v>69</v>
      </c>
      <c r="C148" s="10" t="s">
        <v>13</v>
      </c>
      <c r="D148" s="10" t="s">
        <v>14</v>
      </c>
      <c r="E148" s="3">
        <v>4.0</v>
      </c>
      <c r="F148" s="3">
        <v>4.0</v>
      </c>
      <c r="G148" s="3">
        <v>3.0</v>
      </c>
      <c r="H148" s="3">
        <v>1.0</v>
      </c>
      <c r="I148" s="11">
        <f t="shared" si="1"/>
        <v>8</v>
      </c>
      <c r="J148" s="3">
        <v>50.0</v>
      </c>
    </row>
    <row r="149" ht="15.75" customHeight="1">
      <c r="A149" s="3">
        <v>132.0</v>
      </c>
      <c r="B149" s="10" t="s">
        <v>78</v>
      </c>
      <c r="C149" s="10" t="s">
        <v>13</v>
      </c>
      <c r="D149" s="10" t="s">
        <v>11</v>
      </c>
      <c r="E149" s="3">
        <v>4.0</v>
      </c>
      <c r="F149" s="3">
        <v>4.0</v>
      </c>
      <c r="G149" s="3">
        <v>4.0</v>
      </c>
      <c r="H149" s="3">
        <v>1.0</v>
      </c>
      <c r="I149" s="11">
        <f t="shared" si="1"/>
        <v>8</v>
      </c>
      <c r="J149" s="3">
        <v>50.0</v>
      </c>
    </row>
    <row r="150" ht="15.75" customHeight="1">
      <c r="A150" s="3">
        <v>52.0</v>
      </c>
      <c r="B150" s="10" t="s">
        <v>56</v>
      </c>
      <c r="C150" s="10" t="s">
        <v>13</v>
      </c>
      <c r="D150" s="10" t="s">
        <v>14</v>
      </c>
      <c r="E150" s="3">
        <v>4.0</v>
      </c>
      <c r="F150" s="3">
        <v>4.0</v>
      </c>
      <c r="G150" s="3">
        <v>3.0</v>
      </c>
      <c r="H150" s="3">
        <v>-1.0</v>
      </c>
      <c r="I150" s="11">
        <f t="shared" si="1"/>
        <v>8</v>
      </c>
      <c r="J150" s="3">
        <v>40.0</v>
      </c>
    </row>
    <row r="151" ht="15.75" customHeight="1">
      <c r="A151" s="3">
        <v>73.0</v>
      </c>
      <c r="B151" s="10" t="s">
        <v>35</v>
      </c>
      <c r="C151" s="10" t="s">
        <v>11</v>
      </c>
      <c r="D151" s="10" t="s">
        <v>14</v>
      </c>
      <c r="E151" s="3">
        <v>4.0</v>
      </c>
      <c r="F151" s="3">
        <v>4.0</v>
      </c>
      <c r="G151" s="3">
        <v>2.0</v>
      </c>
      <c r="H151" s="3">
        <v>1.0</v>
      </c>
      <c r="I151" s="11">
        <f t="shared" si="1"/>
        <v>8</v>
      </c>
      <c r="J151" s="3">
        <v>40.0</v>
      </c>
    </row>
    <row r="152" ht="15.75" customHeight="1">
      <c r="A152" s="3">
        <v>85.0</v>
      </c>
      <c r="B152" s="10" t="s">
        <v>152</v>
      </c>
      <c r="C152" s="10" t="s">
        <v>11</v>
      </c>
      <c r="D152" s="10" t="s">
        <v>14</v>
      </c>
      <c r="E152" s="3">
        <v>4.0</v>
      </c>
      <c r="F152" s="3">
        <v>4.0</v>
      </c>
      <c r="G152" s="3">
        <v>6.0</v>
      </c>
      <c r="H152" s="3">
        <v>1.0</v>
      </c>
      <c r="I152" s="11">
        <f t="shared" si="1"/>
        <v>8</v>
      </c>
      <c r="J152" s="3">
        <v>40.0</v>
      </c>
    </row>
    <row r="153" ht="15.75" customHeight="1">
      <c r="A153" s="3">
        <v>105.0</v>
      </c>
      <c r="B153" s="10" t="s">
        <v>126</v>
      </c>
      <c r="C153" s="10" t="s">
        <v>11</v>
      </c>
      <c r="D153" s="10" t="s">
        <v>14</v>
      </c>
      <c r="E153" s="3">
        <v>4.0</v>
      </c>
      <c r="F153" s="3">
        <v>4.0</v>
      </c>
      <c r="G153" s="3">
        <v>5.0</v>
      </c>
      <c r="H153" s="3">
        <v>-1.0</v>
      </c>
      <c r="I153" s="11">
        <f t="shared" si="1"/>
        <v>8</v>
      </c>
      <c r="J153" s="3">
        <v>40.0</v>
      </c>
    </row>
    <row r="154" ht="15.75" customHeight="1">
      <c r="A154" s="3">
        <v>128.0</v>
      </c>
      <c r="B154" s="10" t="s">
        <v>131</v>
      </c>
      <c r="C154" s="10" t="s">
        <v>13</v>
      </c>
      <c r="D154" s="10" t="s">
        <v>14</v>
      </c>
      <c r="E154" s="3">
        <v>4.0</v>
      </c>
      <c r="F154" s="3">
        <v>4.0</v>
      </c>
      <c r="G154" s="3">
        <v>5.0</v>
      </c>
      <c r="H154" s="3">
        <v>1.0</v>
      </c>
      <c r="I154" s="11">
        <f t="shared" si="1"/>
        <v>8</v>
      </c>
      <c r="J154" s="3">
        <v>40.0</v>
      </c>
    </row>
    <row r="155" ht="15.75" customHeight="1">
      <c r="A155" s="3">
        <v>156.0</v>
      </c>
      <c r="B155" s="10" t="s">
        <v>73</v>
      </c>
      <c r="C155" s="10" t="s">
        <v>13</v>
      </c>
      <c r="D155" s="10" t="s">
        <v>14</v>
      </c>
      <c r="E155" s="3">
        <v>4.0</v>
      </c>
      <c r="F155" s="3">
        <v>4.0</v>
      </c>
      <c r="G155" s="3">
        <v>3.0</v>
      </c>
      <c r="H155" s="3">
        <v>1.0</v>
      </c>
      <c r="I155" s="11">
        <f t="shared" si="1"/>
        <v>8</v>
      </c>
      <c r="J155" s="3">
        <v>40.0</v>
      </c>
    </row>
    <row r="156" ht="15.75" customHeight="1">
      <c r="A156" s="3">
        <v>158.0</v>
      </c>
      <c r="B156" s="10" t="s">
        <v>161</v>
      </c>
      <c r="C156" s="10" t="s">
        <v>11</v>
      </c>
      <c r="D156" s="10" t="s">
        <v>14</v>
      </c>
      <c r="E156" s="3">
        <v>3.0</v>
      </c>
      <c r="F156" s="3">
        <v>5.0</v>
      </c>
      <c r="G156" s="3">
        <v>6.0</v>
      </c>
      <c r="H156" s="3">
        <v>-1.0</v>
      </c>
      <c r="I156" s="11">
        <f t="shared" si="1"/>
        <v>8</v>
      </c>
      <c r="J156" s="3">
        <v>40.0</v>
      </c>
    </row>
    <row r="157" ht="15.75" customHeight="1">
      <c r="A157" s="3">
        <v>7.0</v>
      </c>
      <c r="B157" s="10" t="s">
        <v>47</v>
      </c>
      <c r="C157" s="10" t="s">
        <v>13</v>
      </c>
      <c r="D157" s="10" t="s">
        <v>14</v>
      </c>
      <c r="E157" s="3">
        <v>3.0</v>
      </c>
      <c r="F157" s="3">
        <v>3.0</v>
      </c>
      <c r="G157" s="3">
        <v>3.0</v>
      </c>
      <c r="H157" s="3">
        <v>-1.0</v>
      </c>
      <c r="I157" s="11">
        <f t="shared" si="1"/>
        <v>6</v>
      </c>
      <c r="J157" s="3">
        <v>30.0</v>
      </c>
    </row>
    <row r="158" ht="15.75" customHeight="1">
      <c r="A158" s="3">
        <v>29.0</v>
      </c>
      <c r="B158" s="10" t="s">
        <v>75</v>
      </c>
      <c r="C158" s="10" t="s">
        <v>13</v>
      </c>
      <c r="D158" s="10" t="s">
        <v>11</v>
      </c>
      <c r="E158" s="3">
        <v>3.0</v>
      </c>
      <c r="F158" s="3">
        <v>3.0</v>
      </c>
      <c r="G158" s="3">
        <v>4.0</v>
      </c>
      <c r="H158" s="3">
        <v>1.0</v>
      </c>
      <c r="I158" s="11">
        <f t="shared" si="1"/>
        <v>6</v>
      </c>
      <c r="J158" s="3">
        <v>30.0</v>
      </c>
    </row>
    <row r="159" ht="15.75" customHeight="1">
      <c r="A159" s="3">
        <v>76.0</v>
      </c>
      <c r="B159" s="10" t="s">
        <v>60</v>
      </c>
      <c r="C159" s="10" t="s">
        <v>13</v>
      </c>
      <c r="D159" s="10" t="s">
        <v>14</v>
      </c>
      <c r="E159" s="3">
        <v>3.0</v>
      </c>
      <c r="F159" s="3">
        <v>3.0</v>
      </c>
      <c r="G159" s="3">
        <v>3.0</v>
      </c>
      <c r="H159" s="3">
        <v>1.0</v>
      </c>
      <c r="I159" s="11">
        <f t="shared" si="1"/>
        <v>6</v>
      </c>
      <c r="J159" s="3">
        <v>30.0</v>
      </c>
    </row>
    <row r="160" ht="15.75" customHeight="1">
      <c r="A160" s="3">
        <v>94.0</v>
      </c>
      <c r="B160" s="10" t="s">
        <v>94</v>
      </c>
      <c r="C160" s="10" t="s">
        <v>13</v>
      </c>
      <c r="D160" s="10" t="s">
        <v>14</v>
      </c>
      <c r="E160" s="3">
        <v>3.0</v>
      </c>
      <c r="F160" s="3">
        <v>3.0</v>
      </c>
      <c r="G160" s="3">
        <v>4.0</v>
      </c>
      <c r="H160" s="3">
        <v>1.0</v>
      </c>
      <c r="I160" s="11">
        <f t="shared" si="1"/>
        <v>6</v>
      </c>
      <c r="J160" s="3">
        <v>30.0</v>
      </c>
    </row>
    <row r="161" ht="15.75" customHeight="1">
      <c r="A161" s="3">
        <v>56.0</v>
      </c>
      <c r="B161" s="10" t="s">
        <v>76</v>
      </c>
      <c r="C161" s="10" t="s">
        <v>11</v>
      </c>
      <c r="D161" s="10" t="s">
        <v>11</v>
      </c>
      <c r="E161" s="3">
        <v>1.0</v>
      </c>
      <c r="F161" s="3">
        <v>2.0</v>
      </c>
      <c r="G161" s="3">
        <v>4.0</v>
      </c>
      <c r="H161" s="3">
        <v>1.0</v>
      </c>
      <c r="I161" s="11">
        <f t="shared" si="1"/>
        <v>3</v>
      </c>
      <c r="J161" s="3">
        <v>30.0</v>
      </c>
    </row>
    <row r="162" ht="15.75" customHeight="1">
      <c r="B162" s="23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>
      <c r="B172" s="24"/>
    </row>
    <row r="173" ht="15.75" customHeight="1"/>
    <row r="174" ht="15.75" customHeight="1">
      <c r="B174" s="23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33" t="s">
        <v>173</v>
      </c>
      <c r="L1" s="33" t="s">
        <v>174</v>
      </c>
      <c r="M1" s="33" t="s">
        <v>175</v>
      </c>
    </row>
    <row r="2" ht="15.75" customHeight="1">
      <c r="A2" s="3">
        <v>1.0</v>
      </c>
      <c r="B2" s="10" t="s">
        <v>12</v>
      </c>
      <c r="C2" s="10" t="s">
        <v>13</v>
      </c>
      <c r="D2" s="10" t="s">
        <v>14</v>
      </c>
      <c r="E2" s="3">
        <v>8.0</v>
      </c>
      <c r="F2" s="3">
        <v>8.0</v>
      </c>
      <c r="G2" s="3">
        <v>1.0</v>
      </c>
      <c r="H2" s="3">
        <v>-1.0</v>
      </c>
      <c r="I2" s="11">
        <f t="shared" ref="I2:I161" si="1">sum(E2,F2)</f>
        <v>16</v>
      </c>
      <c r="J2" s="3">
        <v>100.0</v>
      </c>
    </row>
    <row r="3" ht="15.75" customHeight="1">
      <c r="A3" s="3">
        <v>2.0</v>
      </c>
      <c r="B3" s="10" t="s">
        <v>15</v>
      </c>
      <c r="C3" s="10" t="s">
        <v>11</v>
      </c>
      <c r="D3" s="10" t="s">
        <v>14</v>
      </c>
      <c r="E3" s="3">
        <v>9.0</v>
      </c>
      <c r="F3" s="3">
        <v>9.0</v>
      </c>
      <c r="G3" s="3">
        <v>1.0</v>
      </c>
      <c r="H3" s="3">
        <v>-1.0</v>
      </c>
      <c r="I3" s="11">
        <f t="shared" si="1"/>
        <v>18</v>
      </c>
      <c r="J3" s="3">
        <v>120.0</v>
      </c>
      <c r="K3" s="33" t="s">
        <v>176</v>
      </c>
    </row>
    <row r="4" ht="15.75" customHeight="1">
      <c r="A4" s="3">
        <v>3.0</v>
      </c>
      <c r="B4" s="10" t="s">
        <v>46</v>
      </c>
      <c r="C4" s="10" t="s">
        <v>13</v>
      </c>
      <c r="D4" s="10" t="s">
        <v>14</v>
      </c>
      <c r="E4" s="3">
        <v>5.0</v>
      </c>
      <c r="F4" s="3">
        <v>5.0</v>
      </c>
      <c r="G4" s="3">
        <v>3.0</v>
      </c>
      <c r="H4" s="3">
        <v>1.0</v>
      </c>
      <c r="I4" s="11">
        <f t="shared" si="1"/>
        <v>10</v>
      </c>
      <c r="J4" s="3">
        <v>50.0</v>
      </c>
      <c r="L4" s="33" t="s">
        <v>177</v>
      </c>
    </row>
    <row r="5" ht="15.75" customHeight="1">
      <c r="A5" s="3">
        <v>4.0</v>
      </c>
      <c r="B5" s="10" t="s">
        <v>16</v>
      </c>
      <c r="C5" s="10" t="s">
        <v>13</v>
      </c>
      <c r="D5" s="10" t="s">
        <v>14</v>
      </c>
      <c r="E5" s="3">
        <v>8.0</v>
      </c>
      <c r="F5" s="3">
        <v>6.0</v>
      </c>
      <c r="G5" s="3">
        <v>1.0</v>
      </c>
      <c r="H5" s="3">
        <v>-1.0</v>
      </c>
      <c r="I5" s="11">
        <f t="shared" si="1"/>
        <v>14</v>
      </c>
      <c r="J5" s="3">
        <v>80.0</v>
      </c>
    </row>
    <row r="6" ht="15.75" customHeight="1">
      <c r="A6" s="3">
        <v>5.0</v>
      </c>
      <c r="B6" s="10" t="s">
        <v>79</v>
      </c>
      <c r="C6" s="10" t="s">
        <v>13</v>
      </c>
      <c r="D6" s="10" t="s">
        <v>14</v>
      </c>
      <c r="E6" s="3">
        <v>6.0</v>
      </c>
      <c r="F6" s="3">
        <v>5.0</v>
      </c>
      <c r="G6" s="3">
        <v>4.0</v>
      </c>
      <c r="H6" s="3">
        <v>-1.0</v>
      </c>
      <c r="I6" s="11">
        <f t="shared" si="1"/>
        <v>11</v>
      </c>
      <c r="J6" s="3">
        <v>60.0</v>
      </c>
      <c r="K6" s="33" t="s">
        <v>176</v>
      </c>
    </row>
    <row r="7" ht="15.75" customHeight="1">
      <c r="A7" s="3">
        <v>6.0</v>
      </c>
      <c r="B7" s="10" t="s">
        <v>143</v>
      </c>
      <c r="C7" s="10" t="s">
        <v>11</v>
      </c>
      <c r="D7" s="10" t="s">
        <v>14</v>
      </c>
      <c r="E7" s="3">
        <v>5.0</v>
      </c>
      <c r="F7" s="3">
        <v>6.0</v>
      </c>
      <c r="G7" s="3">
        <v>6.0</v>
      </c>
      <c r="H7" s="3">
        <v>1.0</v>
      </c>
      <c r="I7" s="11">
        <f t="shared" si="1"/>
        <v>11</v>
      </c>
      <c r="J7" s="3">
        <v>60.0</v>
      </c>
      <c r="K7" s="33">
        <v>1.0</v>
      </c>
      <c r="L7" s="33">
        <v>90.0</v>
      </c>
    </row>
    <row r="8" ht="15.75" customHeight="1">
      <c r="A8" s="3">
        <v>7.0</v>
      </c>
      <c r="B8" s="10" t="s">
        <v>47</v>
      </c>
      <c r="C8" s="10" t="s">
        <v>13</v>
      </c>
      <c r="D8" s="10" t="s">
        <v>14</v>
      </c>
      <c r="E8" s="3">
        <v>3.0</v>
      </c>
      <c r="F8" s="3">
        <v>3.0</v>
      </c>
      <c r="G8" s="3">
        <v>3.0</v>
      </c>
      <c r="H8" s="3">
        <v>-1.0</v>
      </c>
      <c r="I8" s="11">
        <f t="shared" si="1"/>
        <v>6</v>
      </c>
      <c r="J8" s="3">
        <v>30.0</v>
      </c>
    </row>
    <row r="9" ht="15.75" customHeight="1">
      <c r="A9" s="3">
        <v>8.0</v>
      </c>
      <c r="B9" s="10" t="s">
        <v>80</v>
      </c>
      <c r="C9" s="10" t="s">
        <v>13</v>
      </c>
      <c r="D9" s="10" t="s">
        <v>14</v>
      </c>
      <c r="E9" s="3">
        <v>7.0</v>
      </c>
      <c r="F9" s="3">
        <v>7.0</v>
      </c>
      <c r="G9" s="3">
        <v>4.0</v>
      </c>
      <c r="H9" s="3">
        <v>1.0</v>
      </c>
      <c r="I9" s="11">
        <f t="shared" si="1"/>
        <v>14</v>
      </c>
      <c r="J9" s="3">
        <v>80.0</v>
      </c>
    </row>
    <row r="10" ht="15.75" customHeight="1">
      <c r="A10" s="3">
        <v>9.0</v>
      </c>
      <c r="B10" s="10" t="s">
        <v>25</v>
      </c>
      <c r="C10" s="10" t="s">
        <v>13</v>
      </c>
      <c r="D10" s="10" t="s">
        <v>14</v>
      </c>
      <c r="E10" s="3">
        <v>4.0</v>
      </c>
      <c r="F10" s="3">
        <v>5.0</v>
      </c>
      <c r="G10" s="3">
        <v>2.0</v>
      </c>
      <c r="H10" s="3">
        <v>-1.0</v>
      </c>
      <c r="I10" s="11">
        <f t="shared" si="1"/>
        <v>9</v>
      </c>
      <c r="J10" s="3">
        <v>50.0</v>
      </c>
    </row>
    <row r="11" ht="15.75" customHeight="1">
      <c r="A11" s="3">
        <v>10.0</v>
      </c>
      <c r="B11" s="15" t="s">
        <v>41</v>
      </c>
      <c r="C11" s="15" t="s">
        <v>11</v>
      </c>
      <c r="D11" s="15" t="s">
        <v>11</v>
      </c>
      <c r="E11" s="15">
        <v>4.0</v>
      </c>
      <c r="F11" s="15">
        <v>4.0</v>
      </c>
      <c r="G11" s="15">
        <v>3.0</v>
      </c>
      <c r="H11" s="15">
        <v>1.0</v>
      </c>
      <c r="I11" s="11">
        <f t="shared" si="1"/>
        <v>8</v>
      </c>
      <c r="J11" s="15">
        <v>50.0</v>
      </c>
      <c r="K11" s="33">
        <v>17.0</v>
      </c>
      <c r="L11" s="33">
        <v>90.0</v>
      </c>
    </row>
    <row r="12" ht="15.75" customHeight="1">
      <c r="A12" s="3">
        <v>11.0</v>
      </c>
      <c r="B12" s="10" t="s">
        <v>113</v>
      </c>
      <c r="C12" s="10" t="s">
        <v>11</v>
      </c>
      <c r="D12" s="10" t="s">
        <v>14</v>
      </c>
      <c r="E12" s="3">
        <v>7.0</v>
      </c>
      <c r="F12" s="3">
        <v>7.0</v>
      </c>
      <c r="G12" s="3">
        <v>5.0</v>
      </c>
      <c r="H12" s="3">
        <v>-1.0</v>
      </c>
      <c r="I12" s="11">
        <f t="shared" si="1"/>
        <v>14</v>
      </c>
      <c r="J12" s="3">
        <v>80.0</v>
      </c>
      <c r="L12" s="33">
        <v>115.0</v>
      </c>
    </row>
    <row r="13" ht="15.75" customHeight="1">
      <c r="A13" s="3">
        <v>12.0</v>
      </c>
      <c r="B13" s="10" t="s">
        <v>26</v>
      </c>
      <c r="C13" s="10" t="s">
        <v>13</v>
      </c>
      <c r="D13" s="10" t="s">
        <v>14</v>
      </c>
      <c r="E13" s="3">
        <v>8.0</v>
      </c>
      <c r="F13" s="3">
        <v>8.0</v>
      </c>
      <c r="G13" s="3">
        <v>2.0</v>
      </c>
      <c r="H13" s="3">
        <v>1.0</v>
      </c>
      <c r="I13" s="11">
        <f t="shared" si="1"/>
        <v>16</v>
      </c>
      <c r="J13" s="3">
        <v>100.0</v>
      </c>
      <c r="K13" s="33">
        <v>1.0</v>
      </c>
      <c r="L13" s="33">
        <v>175.0</v>
      </c>
    </row>
    <row r="14" ht="15.75" customHeight="1">
      <c r="A14" s="3">
        <v>13.0</v>
      </c>
      <c r="B14" s="10" t="s">
        <v>48</v>
      </c>
      <c r="C14" s="10" t="s">
        <v>13</v>
      </c>
      <c r="D14" s="10" t="s">
        <v>14</v>
      </c>
      <c r="E14" s="3">
        <v>5.0</v>
      </c>
      <c r="F14" s="3">
        <v>6.0</v>
      </c>
      <c r="G14" s="3">
        <v>3.0</v>
      </c>
      <c r="H14" s="3">
        <v>-1.0</v>
      </c>
      <c r="I14" s="11">
        <f t="shared" si="1"/>
        <v>11</v>
      </c>
      <c r="J14" s="3">
        <v>60.0</v>
      </c>
      <c r="K14" s="33">
        <v>18.0</v>
      </c>
      <c r="L14" s="33">
        <v>105.0</v>
      </c>
    </row>
    <row r="15" ht="15.75" customHeight="1">
      <c r="A15" s="3">
        <v>14.0</v>
      </c>
      <c r="B15" s="10" t="s">
        <v>114</v>
      </c>
      <c r="C15" s="10" t="s">
        <v>13</v>
      </c>
      <c r="D15" s="10" t="s">
        <v>14</v>
      </c>
      <c r="E15" s="3">
        <v>5.0</v>
      </c>
      <c r="F15" s="3">
        <v>5.0</v>
      </c>
      <c r="G15" s="3">
        <v>5.0</v>
      </c>
      <c r="H15" s="3">
        <v>-1.0</v>
      </c>
      <c r="I15" s="11">
        <f t="shared" si="1"/>
        <v>10</v>
      </c>
      <c r="J15" s="3">
        <v>50.0</v>
      </c>
      <c r="K15" s="33" t="s">
        <v>178</v>
      </c>
    </row>
    <row r="16" ht="15.75" customHeight="1">
      <c r="A16" s="3">
        <v>15.0</v>
      </c>
      <c r="B16" s="10" t="s">
        <v>115</v>
      </c>
      <c r="C16" s="10" t="s">
        <v>13</v>
      </c>
      <c r="D16" s="10" t="s">
        <v>14</v>
      </c>
      <c r="E16" s="3">
        <v>7.0</v>
      </c>
      <c r="F16" s="3">
        <v>7.0</v>
      </c>
      <c r="G16" s="3">
        <v>5.0</v>
      </c>
      <c r="H16" s="3">
        <v>1.0</v>
      </c>
      <c r="I16" s="11">
        <f t="shared" si="1"/>
        <v>14</v>
      </c>
      <c r="J16" s="3">
        <v>80.0</v>
      </c>
    </row>
    <row r="17" ht="15.75" customHeight="1">
      <c r="A17" s="3">
        <v>16.0</v>
      </c>
      <c r="B17" s="10" t="s">
        <v>144</v>
      </c>
      <c r="C17" s="10" t="s">
        <v>11</v>
      </c>
      <c r="D17" s="10" t="s">
        <v>14</v>
      </c>
      <c r="E17" s="3">
        <v>7.0</v>
      </c>
      <c r="F17" s="3">
        <v>7.0</v>
      </c>
      <c r="G17" s="3">
        <v>6.0</v>
      </c>
      <c r="H17" s="3">
        <v>-1.0</v>
      </c>
      <c r="I17" s="11">
        <f t="shared" si="1"/>
        <v>14</v>
      </c>
      <c r="J17" s="3">
        <v>80.0</v>
      </c>
      <c r="K17" s="33">
        <v>12.0</v>
      </c>
      <c r="L17" s="33">
        <v>120.0</v>
      </c>
    </row>
    <row r="18" ht="15.75" customHeight="1">
      <c r="A18" s="3">
        <v>17.0</v>
      </c>
      <c r="B18" s="10" t="s">
        <v>106</v>
      </c>
      <c r="C18" s="10" t="s">
        <v>13</v>
      </c>
      <c r="D18" s="10" t="s">
        <v>11</v>
      </c>
      <c r="E18" s="3">
        <v>5.0</v>
      </c>
      <c r="F18" s="3">
        <v>6.0</v>
      </c>
      <c r="G18" s="3">
        <v>5.0</v>
      </c>
      <c r="H18" s="3">
        <v>-1.0</v>
      </c>
      <c r="I18" s="11">
        <f t="shared" si="1"/>
        <v>11</v>
      </c>
      <c r="J18" s="3">
        <v>60.0</v>
      </c>
      <c r="K18" s="33">
        <v>12.0</v>
      </c>
      <c r="L18" s="33">
        <v>120.0</v>
      </c>
    </row>
    <row r="19" ht="15.75" customHeight="1">
      <c r="A19" s="3">
        <v>18.0</v>
      </c>
      <c r="B19" s="10" t="s">
        <v>145</v>
      </c>
      <c r="C19" s="10" t="s">
        <v>11</v>
      </c>
      <c r="D19" s="10" t="s">
        <v>14</v>
      </c>
      <c r="E19" s="3">
        <v>8.0</v>
      </c>
      <c r="F19" s="3">
        <v>8.0</v>
      </c>
      <c r="G19" s="3">
        <v>6.0</v>
      </c>
      <c r="H19" s="3">
        <v>-1.0</v>
      </c>
      <c r="I19" s="11">
        <f t="shared" si="1"/>
        <v>16</v>
      </c>
      <c r="J19" s="3">
        <v>100.0</v>
      </c>
    </row>
    <row r="20" ht="15.75" customHeight="1">
      <c r="A20" s="3">
        <v>19.0</v>
      </c>
      <c r="B20" s="10" t="s">
        <v>17</v>
      </c>
      <c r="C20" s="10" t="s">
        <v>13</v>
      </c>
      <c r="D20" s="10" t="s">
        <v>14</v>
      </c>
      <c r="E20" s="3">
        <v>5.0</v>
      </c>
      <c r="F20" s="3">
        <v>5.0</v>
      </c>
      <c r="G20" s="3">
        <v>1.0</v>
      </c>
      <c r="H20" s="3">
        <v>1.0</v>
      </c>
      <c r="I20" s="11">
        <f t="shared" si="1"/>
        <v>10</v>
      </c>
      <c r="J20" s="3">
        <v>60.0</v>
      </c>
      <c r="K20" s="33">
        <v>1.0</v>
      </c>
      <c r="L20" s="33">
        <v>130.0</v>
      </c>
    </row>
    <row r="21" ht="15.75" customHeight="1">
      <c r="A21" s="3">
        <v>20.0</v>
      </c>
      <c r="B21" s="10" t="s">
        <v>116</v>
      </c>
      <c r="C21" s="10" t="s">
        <v>11</v>
      </c>
      <c r="D21" s="10" t="s">
        <v>14</v>
      </c>
      <c r="E21" s="3">
        <v>9.0</v>
      </c>
      <c r="F21" s="3">
        <v>9.0</v>
      </c>
      <c r="G21" s="3">
        <v>5.0</v>
      </c>
      <c r="H21" s="3">
        <v>1.0</v>
      </c>
      <c r="I21" s="11">
        <f t="shared" si="1"/>
        <v>18</v>
      </c>
      <c r="J21" s="3">
        <v>120.0</v>
      </c>
      <c r="K21" s="33" t="s">
        <v>176</v>
      </c>
    </row>
    <row r="22" ht="15.75" customHeight="1">
      <c r="A22" s="3">
        <v>21.0</v>
      </c>
      <c r="B22" s="10" t="s">
        <v>81</v>
      </c>
      <c r="C22" s="10" t="s">
        <v>11</v>
      </c>
      <c r="D22" s="10" t="s">
        <v>14</v>
      </c>
      <c r="E22" s="3">
        <v>5.0</v>
      </c>
      <c r="F22" s="3">
        <v>5.0</v>
      </c>
      <c r="G22" s="3">
        <v>4.0</v>
      </c>
      <c r="H22" s="3">
        <v>1.0</v>
      </c>
      <c r="I22" s="11">
        <f t="shared" si="1"/>
        <v>10</v>
      </c>
      <c r="J22" s="3">
        <v>60.0</v>
      </c>
    </row>
    <row r="23" ht="15.75" customHeight="1">
      <c r="A23" s="3">
        <v>22.0</v>
      </c>
      <c r="B23" s="10" t="s">
        <v>146</v>
      </c>
      <c r="C23" s="10" t="s">
        <v>11</v>
      </c>
      <c r="D23" s="10" t="s">
        <v>14</v>
      </c>
      <c r="E23" s="3">
        <v>9.0</v>
      </c>
      <c r="F23" s="3">
        <v>6.0</v>
      </c>
      <c r="G23" s="3">
        <v>6.0</v>
      </c>
      <c r="H23" s="3">
        <v>1.0</v>
      </c>
      <c r="I23" s="11">
        <f t="shared" si="1"/>
        <v>15</v>
      </c>
      <c r="J23" s="3">
        <v>80.0</v>
      </c>
    </row>
    <row r="24" ht="15.75" customHeight="1">
      <c r="A24" s="3">
        <v>23.0</v>
      </c>
      <c r="B24" s="10" t="s">
        <v>22</v>
      </c>
      <c r="C24" s="10" t="s">
        <v>11</v>
      </c>
      <c r="D24" s="10" t="s">
        <v>11</v>
      </c>
      <c r="E24" s="3">
        <v>5.0</v>
      </c>
      <c r="F24" s="3">
        <v>5.0</v>
      </c>
      <c r="G24" s="3">
        <v>2.0</v>
      </c>
      <c r="H24" s="3">
        <v>-1.0</v>
      </c>
      <c r="I24" s="11">
        <f t="shared" si="1"/>
        <v>10</v>
      </c>
      <c r="J24" s="3">
        <v>60.0</v>
      </c>
      <c r="K24" s="33">
        <v>13.0</v>
      </c>
      <c r="L24" s="33">
        <v>60.0</v>
      </c>
    </row>
    <row r="25" ht="15.75" customHeight="1">
      <c r="A25" s="3">
        <v>24.0</v>
      </c>
      <c r="B25" s="10" t="s">
        <v>27</v>
      </c>
      <c r="C25" s="10" t="s">
        <v>13</v>
      </c>
      <c r="D25" s="10" t="s">
        <v>14</v>
      </c>
      <c r="E25" s="3">
        <v>6.0</v>
      </c>
      <c r="F25" s="3">
        <v>6.0</v>
      </c>
      <c r="G25" s="3">
        <v>2.0</v>
      </c>
      <c r="H25" s="3">
        <v>1.0</v>
      </c>
      <c r="I25" s="11">
        <f t="shared" si="1"/>
        <v>12</v>
      </c>
      <c r="J25" s="3">
        <v>80.0</v>
      </c>
    </row>
    <row r="26" ht="15.75" customHeight="1">
      <c r="A26" s="3">
        <v>25.0</v>
      </c>
      <c r="B26" s="10" t="s">
        <v>28</v>
      </c>
      <c r="C26" s="10" t="s">
        <v>13</v>
      </c>
      <c r="D26" s="10" t="s">
        <v>14</v>
      </c>
      <c r="E26" s="3">
        <v>5.0</v>
      </c>
      <c r="F26" s="3">
        <v>5.0</v>
      </c>
      <c r="G26" s="3">
        <v>2.0</v>
      </c>
      <c r="H26" s="3">
        <v>1.0</v>
      </c>
      <c r="I26" s="11">
        <f t="shared" si="1"/>
        <v>10</v>
      </c>
      <c r="J26" s="3">
        <v>60.0</v>
      </c>
    </row>
    <row r="27" ht="15.75" customHeight="1">
      <c r="A27" s="3">
        <v>26.0</v>
      </c>
      <c r="B27" s="10" t="s">
        <v>49</v>
      </c>
      <c r="C27" s="10" t="s">
        <v>13</v>
      </c>
      <c r="D27" s="10" t="s">
        <v>14</v>
      </c>
      <c r="E27" s="3">
        <v>5.0</v>
      </c>
      <c r="F27" s="3">
        <v>6.0</v>
      </c>
      <c r="G27" s="3">
        <v>3.0</v>
      </c>
      <c r="H27" s="3">
        <v>-1.0</v>
      </c>
      <c r="I27" s="11">
        <f t="shared" si="1"/>
        <v>11</v>
      </c>
      <c r="J27" s="3">
        <v>60.0</v>
      </c>
      <c r="K27" s="33">
        <v>9.0</v>
      </c>
      <c r="L27" s="33">
        <v>100.0</v>
      </c>
      <c r="M27" s="34">
        <f>L27/I27</f>
        <v>9.090909091</v>
      </c>
    </row>
    <row r="28" ht="15.75" customHeight="1">
      <c r="A28" s="3">
        <v>27.0</v>
      </c>
      <c r="B28" s="10" t="s">
        <v>82</v>
      </c>
      <c r="C28" s="10" t="s">
        <v>13</v>
      </c>
      <c r="D28" s="10" t="s">
        <v>14</v>
      </c>
      <c r="E28" s="3">
        <v>5.0</v>
      </c>
      <c r="F28" s="3">
        <v>5.0</v>
      </c>
      <c r="G28" s="3">
        <v>4.0</v>
      </c>
      <c r="H28" s="3">
        <v>1.0</v>
      </c>
      <c r="I28" s="11">
        <f t="shared" si="1"/>
        <v>10</v>
      </c>
      <c r="J28" s="3">
        <v>50.0</v>
      </c>
      <c r="K28" s="33">
        <v>15.0</v>
      </c>
      <c r="L28" s="33">
        <v>90.0</v>
      </c>
    </row>
    <row r="29" ht="15.75" customHeight="1">
      <c r="A29" s="3">
        <v>28.0</v>
      </c>
      <c r="B29" s="10" t="s">
        <v>147</v>
      </c>
      <c r="C29" s="10" t="s">
        <v>11</v>
      </c>
      <c r="D29" s="10" t="s">
        <v>14</v>
      </c>
      <c r="E29" s="3">
        <v>8.0</v>
      </c>
      <c r="F29" s="3">
        <v>9.0</v>
      </c>
      <c r="G29" s="3">
        <v>6.0</v>
      </c>
      <c r="H29" s="3">
        <v>1.0</v>
      </c>
      <c r="I29" s="11">
        <f t="shared" si="1"/>
        <v>17</v>
      </c>
      <c r="J29" s="3">
        <v>100.0</v>
      </c>
      <c r="K29" s="33">
        <v>16.0</v>
      </c>
      <c r="L29" s="33">
        <v>175.0</v>
      </c>
    </row>
    <row r="30" ht="15.75" customHeight="1">
      <c r="A30" s="3">
        <v>29.0</v>
      </c>
      <c r="B30" s="10" t="s">
        <v>75</v>
      </c>
      <c r="C30" s="10" t="s">
        <v>13</v>
      </c>
      <c r="D30" s="10" t="s">
        <v>11</v>
      </c>
      <c r="E30" s="3">
        <v>3.0</v>
      </c>
      <c r="F30" s="3">
        <v>3.0</v>
      </c>
      <c r="G30" s="3">
        <v>4.0</v>
      </c>
      <c r="H30" s="3">
        <v>1.0</v>
      </c>
      <c r="I30" s="11">
        <f t="shared" si="1"/>
        <v>6</v>
      </c>
      <c r="J30" s="3">
        <v>30.0</v>
      </c>
    </row>
    <row r="31" ht="15.75" customHeight="1">
      <c r="A31" s="13">
        <v>30.0</v>
      </c>
      <c r="B31" s="12" t="s">
        <v>117</v>
      </c>
      <c r="C31" s="12" t="s">
        <v>13</v>
      </c>
      <c r="D31" s="12" t="s">
        <v>14</v>
      </c>
      <c r="E31" s="13">
        <v>9.0</v>
      </c>
      <c r="F31" s="13">
        <v>8.0</v>
      </c>
      <c r="G31" s="13">
        <v>5.0</v>
      </c>
      <c r="H31" s="13">
        <v>1.0</v>
      </c>
      <c r="I31" s="14">
        <f t="shared" si="1"/>
        <v>17</v>
      </c>
      <c r="J31" s="13">
        <v>120.0</v>
      </c>
      <c r="K31" s="35">
        <v>9.0</v>
      </c>
      <c r="L31" s="35">
        <v>185.0</v>
      </c>
      <c r="M31" s="35">
        <f>185/17</f>
        <v>10.88235294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</row>
    <row r="32" ht="15.75" customHeight="1">
      <c r="A32" s="3">
        <v>31.0</v>
      </c>
      <c r="B32" s="20" t="s">
        <v>42</v>
      </c>
      <c r="C32" s="10" t="s">
        <v>11</v>
      </c>
      <c r="D32" s="10" t="s">
        <v>11</v>
      </c>
      <c r="E32" s="3">
        <v>7.0</v>
      </c>
      <c r="F32" s="3">
        <v>6.0</v>
      </c>
      <c r="G32" s="3">
        <v>3.0</v>
      </c>
      <c r="H32" s="3">
        <v>1.0</v>
      </c>
      <c r="I32" s="11">
        <f t="shared" si="1"/>
        <v>13</v>
      </c>
      <c r="J32" s="3">
        <v>80.0</v>
      </c>
      <c r="K32" s="33">
        <v>1.0</v>
      </c>
      <c r="L32" s="33">
        <v>145.0</v>
      </c>
    </row>
    <row r="33" ht="15.75" customHeight="1">
      <c r="A33" s="3">
        <v>32.0</v>
      </c>
      <c r="B33" s="10" t="s">
        <v>83</v>
      </c>
      <c r="C33" s="10" t="s">
        <v>13</v>
      </c>
      <c r="D33" s="10" t="s">
        <v>14</v>
      </c>
      <c r="E33" s="3">
        <v>5.0</v>
      </c>
      <c r="F33" s="3">
        <v>6.0</v>
      </c>
      <c r="G33" s="3">
        <v>4.0</v>
      </c>
      <c r="H33" s="3">
        <v>-1.0</v>
      </c>
      <c r="I33" s="11">
        <f t="shared" si="1"/>
        <v>11</v>
      </c>
      <c r="J33" s="3">
        <v>60.0</v>
      </c>
    </row>
    <row r="34" ht="15.75" customHeight="1">
      <c r="A34" s="3">
        <v>33.0</v>
      </c>
      <c r="B34" s="10" t="s">
        <v>50</v>
      </c>
      <c r="C34" s="10" t="s">
        <v>11</v>
      </c>
      <c r="D34" s="10" t="s">
        <v>14</v>
      </c>
      <c r="E34" s="3">
        <v>8.0</v>
      </c>
      <c r="F34" s="3">
        <v>8.0</v>
      </c>
      <c r="G34" s="3">
        <v>3.0</v>
      </c>
      <c r="H34" s="3">
        <v>1.0</v>
      </c>
      <c r="I34" s="11">
        <f t="shared" si="1"/>
        <v>16</v>
      </c>
      <c r="J34" s="3">
        <v>100.0</v>
      </c>
      <c r="K34" s="33" t="s">
        <v>176</v>
      </c>
    </row>
    <row r="35" ht="15.75" customHeight="1">
      <c r="A35" s="3">
        <v>34.0</v>
      </c>
      <c r="B35" s="10" t="s">
        <v>51</v>
      </c>
      <c r="C35" s="10" t="s">
        <v>11</v>
      </c>
      <c r="D35" s="10" t="s">
        <v>14</v>
      </c>
      <c r="E35" s="3">
        <v>7.0</v>
      </c>
      <c r="F35" s="3">
        <v>5.0</v>
      </c>
      <c r="G35" s="3">
        <v>3.0</v>
      </c>
      <c r="H35" s="3">
        <v>1.0</v>
      </c>
      <c r="I35" s="11">
        <f t="shared" si="1"/>
        <v>12</v>
      </c>
      <c r="J35" s="3">
        <v>80.0</v>
      </c>
    </row>
    <row r="36" ht="15.75" customHeight="1">
      <c r="A36" s="3">
        <v>35.0</v>
      </c>
      <c r="B36" s="10" t="s">
        <v>148</v>
      </c>
      <c r="C36" s="10" t="s">
        <v>11</v>
      </c>
      <c r="D36" s="10" t="s">
        <v>14</v>
      </c>
      <c r="E36" s="3">
        <v>7.0</v>
      </c>
      <c r="F36" s="3">
        <v>7.0</v>
      </c>
      <c r="G36" s="3">
        <v>6.0</v>
      </c>
      <c r="H36" s="3">
        <v>1.0</v>
      </c>
      <c r="I36" s="11">
        <f t="shared" si="1"/>
        <v>14</v>
      </c>
      <c r="J36" s="3">
        <v>80.0</v>
      </c>
      <c r="K36" s="33" t="s">
        <v>178</v>
      </c>
    </row>
    <row r="37" ht="15.75" customHeight="1">
      <c r="A37" s="3">
        <v>36.0</v>
      </c>
      <c r="B37" s="10" t="s">
        <v>149</v>
      </c>
      <c r="C37" s="10" t="s">
        <v>11</v>
      </c>
      <c r="D37" s="10" t="s">
        <v>14</v>
      </c>
      <c r="E37" s="3">
        <v>6.0</v>
      </c>
      <c r="F37" s="3">
        <v>6.0</v>
      </c>
      <c r="G37" s="3">
        <v>6.0</v>
      </c>
      <c r="H37" s="3">
        <v>1.0</v>
      </c>
      <c r="I37" s="11">
        <f t="shared" si="1"/>
        <v>12</v>
      </c>
      <c r="J37" s="3">
        <v>60.0</v>
      </c>
    </row>
    <row r="38" ht="15.75" customHeight="1">
      <c r="A38" s="3">
        <v>37.0</v>
      </c>
      <c r="B38" s="10" t="s">
        <v>10</v>
      </c>
      <c r="C38" s="10" t="s">
        <v>11</v>
      </c>
      <c r="D38" s="10" t="s">
        <v>11</v>
      </c>
      <c r="E38" s="3">
        <v>8.0</v>
      </c>
      <c r="F38" s="3">
        <v>8.0</v>
      </c>
      <c r="G38" s="3">
        <v>1.0</v>
      </c>
      <c r="H38" s="3">
        <v>-1.0</v>
      </c>
      <c r="I38" s="11">
        <f t="shared" si="1"/>
        <v>16</v>
      </c>
      <c r="J38" s="3">
        <v>100.0</v>
      </c>
      <c r="K38" s="33">
        <v>18.0</v>
      </c>
      <c r="L38" s="33">
        <v>195.0</v>
      </c>
    </row>
    <row r="39" ht="15.75" customHeight="1">
      <c r="A39" s="3">
        <v>38.0</v>
      </c>
      <c r="B39" s="10" t="s">
        <v>84</v>
      </c>
      <c r="C39" s="10" t="s">
        <v>11</v>
      </c>
      <c r="D39" s="10" t="s">
        <v>14</v>
      </c>
      <c r="E39" s="3">
        <v>8.0</v>
      </c>
      <c r="F39" s="3">
        <v>8.0</v>
      </c>
      <c r="G39" s="3">
        <v>4.0</v>
      </c>
      <c r="H39" s="3">
        <v>-1.0</v>
      </c>
      <c r="I39" s="11">
        <f t="shared" si="1"/>
        <v>16</v>
      </c>
      <c r="J39" s="3">
        <v>100.0</v>
      </c>
      <c r="K39" s="33">
        <v>10.0</v>
      </c>
      <c r="L39" s="33">
        <v>180.0</v>
      </c>
    </row>
    <row r="40" ht="15.75" customHeight="1">
      <c r="A40" s="3">
        <v>39.0</v>
      </c>
      <c r="B40" s="10" t="s">
        <v>52</v>
      </c>
      <c r="C40" s="10" t="s">
        <v>13</v>
      </c>
      <c r="D40" s="10" t="s">
        <v>14</v>
      </c>
      <c r="E40" s="3">
        <v>6.0</v>
      </c>
      <c r="F40" s="3">
        <v>6.0</v>
      </c>
      <c r="G40" s="3">
        <v>3.0</v>
      </c>
      <c r="H40" s="3">
        <v>-1.0</v>
      </c>
      <c r="I40" s="11">
        <f t="shared" si="1"/>
        <v>12</v>
      </c>
      <c r="J40" s="3">
        <v>60.0</v>
      </c>
    </row>
    <row r="41" ht="15.75" customHeight="1">
      <c r="A41" s="3">
        <v>40.0</v>
      </c>
      <c r="B41" s="10" t="s">
        <v>53</v>
      </c>
      <c r="C41" s="10" t="s">
        <v>13</v>
      </c>
      <c r="D41" s="10" t="s">
        <v>14</v>
      </c>
      <c r="E41" s="3">
        <v>6.0</v>
      </c>
      <c r="F41" s="3">
        <v>5.0</v>
      </c>
      <c r="G41" s="3">
        <v>3.0</v>
      </c>
      <c r="H41" s="3">
        <v>-1.0</v>
      </c>
      <c r="I41" s="11">
        <f t="shared" si="1"/>
        <v>11</v>
      </c>
      <c r="J41" s="3">
        <v>60.0</v>
      </c>
    </row>
    <row r="42" ht="15.75" customHeight="1">
      <c r="A42" s="3">
        <v>41.0</v>
      </c>
      <c r="B42" s="10" t="s">
        <v>162</v>
      </c>
      <c r="C42" s="10" t="s">
        <v>11</v>
      </c>
      <c r="D42" s="10" t="s">
        <v>14</v>
      </c>
      <c r="E42" s="3">
        <v>8.0</v>
      </c>
      <c r="F42" s="3">
        <v>8.0</v>
      </c>
      <c r="G42" s="3">
        <v>7.0</v>
      </c>
      <c r="H42" s="3">
        <v>1.0</v>
      </c>
      <c r="I42" s="11">
        <f t="shared" si="1"/>
        <v>16</v>
      </c>
      <c r="J42" s="3">
        <v>100.0</v>
      </c>
      <c r="K42" s="33" t="s">
        <v>178</v>
      </c>
    </row>
    <row r="43" ht="15.75" customHeight="1">
      <c r="A43" s="3">
        <v>42.0</v>
      </c>
      <c r="B43" s="10" t="s">
        <v>163</v>
      </c>
      <c r="C43" s="10" t="s">
        <v>11</v>
      </c>
      <c r="D43" s="10" t="s">
        <v>14</v>
      </c>
      <c r="E43" s="3">
        <v>8.0</v>
      </c>
      <c r="F43" s="3">
        <v>5.0</v>
      </c>
      <c r="G43" s="3">
        <v>7.0</v>
      </c>
      <c r="H43" s="3">
        <v>1.0</v>
      </c>
      <c r="I43" s="11">
        <f t="shared" si="1"/>
        <v>13</v>
      </c>
      <c r="J43" s="3">
        <v>60.0</v>
      </c>
    </row>
    <row r="44" ht="15.75" customHeight="1">
      <c r="A44" s="3">
        <v>43.0</v>
      </c>
      <c r="B44" s="10" t="s">
        <v>54</v>
      </c>
      <c r="C44" s="10" t="s">
        <v>13</v>
      </c>
      <c r="D44" s="10" t="s">
        <v>14</v>
      </c>
      <c r="E44" s="3">
        <v>4.0</v>
      </c>
      <c r="F44" s="3">
        <v>8.0</v>
      </c>
      <c r="G44" s="3">
        <v>3.0</v>
      </c>
      <c r="H44" s="3">
        <v>1.0</v>
      </c>
      <c r="I44" s="11">
        <f t="shared" si="1"/>
        <v>12</v>
      </c>
      <c r="J44" s="3">
        <v>60.0</v>
      </c>
      <c r="K44" s="33" t="s">
        <v>176</v>
      </c>
    </row>
    <row r="45" ht="15.75" customHeight="1">
      <c r="A45" s="3">
        <v>44.0</v>
      </c>
      <c r="B45" s="10" t="s">
        <v>150</v>
      </c>
      <c r="C45" s="10" t="s">
        <v>11</v>
      </c>
      <c r="D45" s="10" t="s">
        <v>14</v>
      </c>
      <c r="E45" s="3">
        <v>7.0</v>
      </c>
      <c r="F45" s="3">
        <v>7.0</v>
      </c>
      <c r="G45" s="3">
        <v>6.0</v>
      </c>
      <c r="H45" s="3">
        <v>-1.0</v>
      </c>
      <c r="I45" s="11">
        <f t="shared" si="1"/>
        <v>14</v>
      </c>
      <c r="J45" s="3">
        <v>80.0</v>
      </c>
      <c r="K45" s="33">
        <v>18.0</v>
      </c>
      <c r="L45" s="33">
        <v>115.0</v>
      </c>
    </row>
    <row r="46" ht="15.75" customHeight="1">
      <c r="A46" s="3">
        <v>45.0</v>
      </c>
      <c r="B46" s="10" t="s">
        <v>55</v>
      </c>
      <c r="C46" s="10" t="s">
        <v>11</v>
      </c>
      <c r="D46" s="10" t="s">
        <v>14</v>
      </c>
      <c r="E46" s="3">
        <v>8.0</v>
      </c>
      <c r="F46" s="3">
        <v>7.0</v>
      </c>
      <c r="G46" s="3">
        <v>3.0</v>
      </c>
      <c r="H46" s="3">
        <v>1.0</v>
      </c>
      <c r="I46" s="11">
        <f t="shared" si="1"/>
        <v>15</v>
      </c>
      <c r="J46" s="3">
        <v>80.0</v>
      </c>
      <c r="K46" s="33">
        <v>13.0</v>
      </c>
      <c r="L46" s="33">
        <v>165.0</v>
      </c>
    </row>
    <row r="47" ht="15.75" customHeight="1">
      <c r="A47" s="3">
        <v>46.0</v>
      </c>
      <c r="B47" s="10" t="s">
        <v>29</v>
      </c>
      <c r="C47" s="10" t="s">
        <v>11</v>
      </c>
      <c r="D47" s="10" t="s">
        <v>14</v>
      </c>
      <c r="E47" s="3">
        <v>6.0</v>
      </c>
      <c r="F47" s="3">
        <v>7.0</v>
      </c>
      <c r="G47" s="3">
        <v>2.0</v>
      </c>
      <c r="H47" s="3">
        <v>-1.0</v>
      </c>
      <c r="I47" s="11">
        <f t="shared" si="1"/>
        <v>13</v>
      </c>
      <c r="J47" s="3">
        <v>60.0</v>
      </c>
    </row>
    <row r="48" ht="15.75" customHeight="1">
      <c r="A48" s="3">
        <v>47.0</v>
      </c>
      <c r="B48" s="15" t="s">
        <v>43</v>
      </c>
      <c r="C48" s="15" t="s">
        <v>11</v>
      </c>
      <c r="D48" s="15" t="s">
        <v>11</v>
      </c>
      <c r="E48" s="15">
        <v>6.0</v>
      </c>
      <c r="F48" s="15">
        <v>6.0</v>
      </c>
      <c r="G48" s="15">
        <v>3.0</v>
      </c>
      <c r="H48" s="15">
        <v>-1.0</v>
      </c>
      <c r="I48" s="11">
        <f t="shared" si="1"/>
        <v>12</v>
      </c>
      <c r="J48" s="15">
        <v>60.0</v>
      </c>
      <c r="K48" s="33">
        <v>14.0</v>
      </c>
      <c r="L48" s="33">
        <v>95.0</v>
      </c>
    </row>
    <row r="49" ht="15.75" customHeight="1">
      <c r="A49" s="3">
        <v>48.0</v>
      </c>
      <c r="B49" s="10" t="s">
        <v>118</v>
      </c>
      <c r="C49" s="10" t="s">
        <v>11</v>
      </c>
      <c r="D49" s="10" t="s">
        <v>14</v>
      </c>
      <c r="E49" s="3">
        <v>8.0</v>
      </c>
      <c r="F49" s="3">
        <v>8.0</v>
      </c>
      <c r="G49" s="3">
        <v>5.0</v>
      </c>
      <c r="H49" s="3">
        <v>-1.0</v>
      </c>
      <c r="I49" s="11">
        <f t="shared" si="1"/>
        <v>16</v>
      </c>
      <c r="J49" s="3">
        <v>100.0</v>
      </c>
    </row>
    <row r="50" ht="15.75" customHeight="1">
      <c r="A50" s="3">
        <v>49.0</v>
      </c>
      <c r="B50" s="10" t="s">
        <v>119</v>
      </c>
      <c r="C50" s="10" t="s">
        <v>13</v>
      </c>
      <c r="D50" s="10" t="s">
        <v>14</v>
      </c>
      <c r="E50" s="3">
        <v>8.0</v>
      </c>
      <c r="F50" s="3">
        <v>8.0</v>
      </c>
      <c r="G50" s="3">
        <v>5.0</v>
      </c>
      <c r="H50" s="3">
        <v>1.0</v>
      </c>
      <c r="I50" s="11">
        <f t="shared" si="1"/>
        <v>16</v>
      </c>
      <c r="J50" s="3">
        <v>100.0</v>
      </c>
      <c r="K50" s="33" t="s">
        <v>176</v>
      </c>
    </row>
    <row r="51" ht="15.75" customHeight="1">
      <c r="A51" s="3">
        <v>50.0</v>
      </c>
      <c r="B51" s="10" t="s">
        <v>120</v>
      </c>
      <c r="C51" s="10" t="s">
        <v>11</v>
      </c>
      <c r="D51" s="10" t="s">
        <v>14</v>
      </c>
      <c r="E51" s="3">
        <v>5.0</v>
      </c>
      <c r="F51" s="3">
        <v>4.0</v>
      </c>
      <c r="G51" s="3">
        <v>5.0</v>
      </c>
      <c r="H51" s="3">
        <v>-1.0</v>
      </c>
      <c r="I51" s="11">
        <f t="shared" si="1"/>
        <v>9</v>
      </c>
      <c r="J51" s="3">
        <v>40.0</v>
      </c>
      <c r="K51" s="33">
        <v>18.0</v>
      </c>
      <c r="L51" s="33">
        <v>70.0</v>
      </c>
    </row>
    <row r="52" ht="15.75" customHeight="1">
      <c r="A52" s="3">
        <v>51.0</v>
      </c>
      <c r="B52" s="10" t="s">
        <v>30</v>
      </c>
      <c r="C52" s="10" t="s">
        <v>13</v>
      </c>
      <c r="D52" s="10" t="s">
        <v>14</v>
      </c>
      <c r="E52" s="3">
        <v>8.0</v>
      </c>
      <c r="F52" s="3">
        <v>8.0</v>
      </c>
      <c r="G52" s="3">
        <v>2.0</v>
      </c>
      <c r="H52" s="3">
        <v>1.0</v>
      </c>
      <c r="I52" s="11">
        <f t="shared" si="1"/>
        <v>16</v>
      </c>
      <c r="J52" s="3">
        <v>100.0</v>
      </c>
      <c r="K52" s="33">
        <v>9.0</v>
      </c>
      <c r="L52" s="33">
        <v>140.0</v>
      </c>
      <c r="M52" s="34">
        <f>L52/I52</f>
        <v>8.75</v>
      </c>
    </row>
    <row r="53" ht="15.75" customHeight="1">
      <c r="A53" s="3">
        <v>52.0</v>
      </c>
      <c r="B53" s="10" t="s">
        <v>56</v>
      </c>
      <c r="C53" s="10" t="s">
        <v>13</v>
      </c>
      <c r="D53" s="10" t="s">
        <v>14</v>
      </c>
      <c r="E53" s="3">
        <v>4.0</v>
      </c>
      <c r="F53" s="3">
        <v>4.0</v>
      </c>
      <c r="G53" s="3">
        <v>3.0</v>
      </c>
      <c r="H53" s="3">
        <v>-1.0</v>
      </c>
      <c r="I53" s="11">
        <f t="shared" si="1"/>
        <v>8</v>
      </c>
      <c r="J53" s="3">
        <v>40.0</v>
      </c>
      <c r="K53" s="33" t="s">
        <v>178</v>
      </c>
      <c r="L53" s="33">
        <v>90.0</v>
      </c>
    </row>
    <row r="54" ht="15.75" customHeight="1">
      <c r="A54" s="3">
        <v>53.0</v>
      </c>
      <c r="B54" s="10" t="s">
        <v>85</v>
      </c>
      <c r="C54" s="10" t="s">
        <v>11</v>
      </c>
      <c r="D54" s="10" t="s">
        <v>14</v>
      </c>
      <c r="E54" s="3">
        <v>7.0</v>
      </c>
      <c r="F54" s="3">
        <v>6.0</v>
      </c>
      <c r="G54" s="3">
        <v>4.0</v>
      </c>
      <c r="H54" s="3">
        <v>-1.0</v>
      </c>
      <c r="I54" s="11">
        <f t="shared" si="1"/>
        <v>13</v>
      </c>
      <c r="J54" s="3">
        <v>80.0</v>
      </c>
    </row>
    <row r="55" ht="15.75" customHeight="1">
      <c r="A55" s="3">
        <v>54.0</v>
      </c>
      <c r="B55" s="10" t="s">
        <v>121</v>
      </c>
      <c r="C55" s="10" t="s">
        <v>13</v>
      </c>
      <c r="D55" s="10" t="s">
        <v>14</v>
      </c>
      <c r="E55" s="3">
        <v>7.0</v>
      </c>
      <c r="F55" s="3">
        <v>6.0</v>
      </c>
      <c r="G55" s="3">
        <v>5.0</v>
      </c>
      <c r="H55" s="3">
        <v>-1.0</v>
      </c>
      <c r="I55" s="11">
        <f t="shared" si="1"/>
        <v>13</v>
      </c>
      <c r="J55" s="3">
        <v>80.0</v>
      </c>
      <c r="K55" s="33" t="s">
        <v>178</v>
      </c>
    </row>
    <row r="56" ht="15.75" customHeight="1">
      <c r="A56" s="3">
        <v>55.0</v>
      </c>
      <c r="B56" s="10" t="s">
        <v>122</v>
      </c>
      <c r="C56" s="10" t="s">
        <v>11</v>
      </c>
      <c r="D56" s="10" t="s">
        <v>14</v>
      </c>
      <c r="E56" s="3">
        <v>7.0</v>
      </c>
      <c r="F56" s="3">
        <v>5.0</v>
      </c>
      <c r="G56" s="3">
        <v>5.0</v>
      </c>
      <c r="H56" s="3">
        <v>1.0</v>
      </c>
      <c r="I56" s="11">
        <f t="shared" si="1"/>
        <v>12</v>
      </c>
      <c r="J56" s="3">
        <v>80.0</v>
      </c>
    </row>
    <row r="57" ht="15.75" customHeight="1">
      <c r="A57" s="3">
        <v>56.0</v>
      </c>
      <c r="B57" s="10" t="s">
        <v>76</v>
      </c>
      <c r="C57" s="10" t="s">
        <v>11</v>
      </c>
      <c r="D57" s="10" t="s">
        <v>11</v>
      </c>
      <c r="E57" s="3">
        <v>1.0</v>
      </c>
      <c r="F57" s="3">
        <v>2.0</v>
      </c>
      <c r="G57" s="3">
        <v>4.0</v>
      </c>
      <c r="H57" s="3">
        <v>1.0</v>
      </c>
      <c r="I57" s="11">
        <f t="shared" si="1"/>
        <v>3</v>
      </c>
      <c r="J57" s="3">
        <v>30.0</v>
      </c>
    </row>
    <row r="58" ht="15.75" customHeight="1">
      <c r="A58" s="3">
        <v>57.0</v>
      </c>
      <c r="B58" s="10" t="s">
        <v>164</v>
      </c>
      <c r="C58" s="10" t="s">
        <v>11</v>
      </c>
      <c r="D58" s="10" t="s">
        <v>14</v>
      </c>
      <c r="E58" s="3">
        <v>8.0</v>
      </c>
      <c r="F58" s="3">
        <v>9.0</v>
      </c>
      <c r="G58" s="3">
        <v>7.0</v>
      </c>
      <c r="H58" s="3">
        <v>-1.0</v>
      </c>
      <c r="I58" s="11">
        <f t="shared" si="1"/>
        <v>17</v>
      </c>
      <c r="J58" s="3">
        <v>100.0</v>
      </c>
      <c r="K58" s="33" t="s">
        <v>178</v>
      </c>
    </row>
    <row r="59" ht="15.75" customHeight="1">
      <c r="A59" s="3">
        <v>58.0</v>
      </c>
      <c r="B59" s="10" t="s">
        <v>107</v>
      </c>
      <c r="C59" s="10" t="s">
        <v>13</v>
      </c>
      <c r="D59" s="10" t="s">
        <v>11</v>
      </c>
      <c r="E59" s="3">
        <v>6.0</v>
      </c>
      <c r="F59" s="3">
        <v>4.0</v>
      </c>
      <c r="G59" s="3">
        <v>5.0</v>
      </c>
      <c r="H59" s="3">
        <v>-1.0</v>
      </c>
      <c r="I59" s="11">
        <f t="shared" si="1"/>
        <v>10</v>
      </c>
      <c r="J59" s="3">
        <v>60.0</v>
      </c>
      <c r="K59" s="33" t="s">
        <v>178</v>
      </c>
    </row>
    <row r="60" ht="15.75" customHeight="1">
      <c r="A60" s="3">
        <v>59.0</v>
      </c>
      <c r="B60" s="10" t="s">
        <v>57</v>
      </c>
      <c r="C60" s="10" t="s">
        <v>13</v>
      </c>
      <c r="D60" s="10" t="s">
        <v>14</v>
      </c>
      <c r="E60" s="3">
        <v>5.0</v>
      </c>
      <c r="F60" s="3">
        <v>6.0</v>
      </c>
      <c r="G60" s="3">
        <v>3.0</v>
      </c>
      <c r="H60" s="3">
        <v>1.0</v>
      </c>
      <c r="I60" s="11">
        <f t="shared" si="1"/>
        <v>11</v>
      </c>
      <c r="J60" s="3">
        <v>60.0</v>
      </c>
      <c r="K60" s="33" t="s">
        <v>176</v>
      </c>
    </row>
    <row r="61" ht="15.75" customHeight="1">
      <c r="A61" s="3">
        <v>60.0</v>
      </c>
      <c r="B61" s="10" t="s">
        <v>151</v>
      </c>
      <c r="C61" s="10" t="s">
        <v>11</v>
      </c>
      <c r="D61" s="10" t="s">
        <v>14</v>
      </c>
      <c r="E61" s="3">
        <v>8.0</v>
      </c>
      <c r="F61" s="3">
        <v>7.0</v>
      </c>
      <c r="G61" s="3">
        <v>6.0</v>
      </c>
      <c r="H61" s="3">
        <v>-1.0</v>
      </c>
      <c r="I61" s="11">
        <f t="shared" si="1"/>
        <v>15</v>
      </c>
      <c r="J61" s="3">
        <v>80.0</v>
      </c>
    </row>
    <row r="62" ht="15.75" customHeight="1">
      <c r="A62" s="3">
        <v>61.0</v>
      </c>
      <c r="B62" s="10" t="s">
        <v>31</v>
      </c>
      <c r="C62" s="10" t="s">
        <v>11</v>
      </c>
      <c r="D62" s="10" t="s">
        <v>14</v>
      </c>
      <c r="E62" s="3">
        <v>6.0</v>
      </c>
      <c r="F62" s="3">
        <v>6.0</v>
      </c>
      <c r="G62" s="3">
        <v>2.0</v>
      </c>
      <c r="H62" s="3">
        <v>1.0</v>
      </c>
      <c r="I62" s="11">
        <f t="shared" si="1"/>
        <v>12</v>
      </c>
      <c r="J62" s="3">
        <v>60.0</v>
      </c>
    </row>
    <row r="63" ht="15.75" customHeight="1">
      <c r="A63" s="3">
        <v>62.0</v>
      </c>
      <c r="B63" s="10" t="s">
        <v>32</v>
      </c>
      <c r="C63" s="10" t="s">
        <v>13</v>
      </c>
      <c r="D63" s="10" t="s">
        <v>14</v>
      </c>
      <c r="E63" s="3">
        <v>8.0</v>
      </c>
      <c r="F63" s="3">
        <v>7.0</v>
      </c>
      <c r="G63" s="3">
        <v>2.0</v>
      </c>
      <c r="H63" s="3">
        <v>-1.0</v>
      </c>
      <c r="I63" s="11">
        <f t="shared" si="1"/>
        <v>15</v>
      </c>
      <c r="J63" s="3">
        <v>80.0</v>
      </c>
    </row>
    <row r="64" ht="15.75" customHeight="1">
      <c r="A64" s="3">
        <v>63.0</v>
      </c>
      <c r="B64" s="10" t="s">
        <v>33</v>
      </c>
      <c r="C64" s="10" t="s">
        <v>11</v>
      </c>
      <c r="D64" s="10" t="s">
        <v>14</v>
      </c>
      <c r="E64" s="3">
        <v>6.0</v>
      </c>
      <c r="F64" s="3">
        <v>6.0</v>
      </c>
      <c r="G64" s="3">
        <v>2.0</v>
      </c>
      <c r="H64" s="3">
        <v>1.0</v>
      </c>
      <c r="I64" s="11">
        <f t="shared" si="1"/>
        <v>12</v>
      </c>
      <c r="J64" s="3">
        <v>80.0</v>
      </c>
      <c r="K64" s="33">
        <v>5.0</v>
      </c>
      <c r="L64" s="33">
        <v>115.0</v>
      </c>
    </row>
    <row r="65" ht="15.75" customHeight="1">
      <c r="A65" s="3">
        <v>64.0</v>
      </c>
      <c r="B65" s="10" t="s">
        <v>34</v>
      </c>
      <c r="C65" s="10" t="s">
        <v>13</v>
      </c>
      <c r="D65" s="10" t="s">
        <v>14</v>
      </c>
      <c r="E65" s="3">
        <v>8.0</v>
      </c>
      <c r="F65" s="3">
        <v>7.0</v>
      </c>
      <c r="G65" s="3">
        <v>2.0</v>
      </c>
      <c r="H65" s="3">
        <v>1.0</v>
      </c>
      <c r="I65" s="11">
        <f t="shared" si="1"/>
        <v>15</v>
      </c>
      <c r="J65" s="3">
        <v>80.0</v>
      </c>
      <c r="K65" s="33">
        <v>13.0</v>
      </c>
      <c r="L65" s="33">
        <v>175.0</v>
      </c>
    </row>
    <row r="66" ht="15.75" customHeight="1">
      <c r="A66" s="3">
        <v>65.0</v>
      </c>
      <c r="B66" s="10" t="s">
        <v>58</v>
      </c>
      <c r="C66" s="10" t="s">
        <v>11</v>
      </c>
      <c r="D66" s="10" t="s">
        <v>14</v>
      </c>
      <c r="E66" s="3">
        <v>5.0</v>
      </c>
      <c r="F66" s="3">
        <v>5.0</v>
      </c>
      <c r="G66" s="3">
        <v>3.0</v>
      </c>
      <c r="H66" s="3">
        <v>-1.0</v>
      </c>
      <c r="I66" s="11">
        <f t="shared" si="1"/>
        <v>10</v>
      </c>
      <c r="J66" s="3">
        <v>60.0</v>
      </c>
      <c r="K66" s="33">
        <v>5.0</v>
      </c>
      <c r="L66" s="33">
        <v>90.0</v>
      </c>
    </row>
    <row r="67" ht="15.75" customHeight="1">
      <c r="A67" s="3">
        <v>66.0</v>
      </c>
      <c r="B67" s="10" t="s">
        <v>86</v>
      </c>
      <c r="C67" s="10" t="s">
        <v>13</v>
      </c>
      <c r="D67" s="10" t="s">
        <v>14</v>
      </c>
      <c r="E67" s="3">
        <v>6.0</v>
      </c>
      <c r="F67" s="3">
        <v>5.0</v>
      </c>
      <c r="G67" s="3">
        <v>4.0</v>
      </c>
      <c r="H67" s="3">
        <v>-1.0</v>
      </c>
      <c r="I67" s="11">
        <f t="shared" si="1"/>
        <v>11</v>
      </c>
      <c r="J67" s="3">
        <v>60.0</v>
      </c>
      <c r="K67" s="33" t="s">
        <v>176</v>
      </c>
    </row>
    <row r="68" ht="15.75" customHeight="1">
      <c r="A68" s="3">
        <v>67.0</v>
      </c>
      <c r="B68" s="10" t="s">
        <v>123</v>
      </c>
      <c r="C68" s="10" t="s">
        <v>11</v>
      </c>
      <c r="D68" s="10" t="s">
        <v>14</v>
      </c>
      <c r="E68" s="3">
        <v>7.0</v>
      </c>
      <c r="F68" s="3">
        <v>8.0</v>
      </c>
      <c r="G68" s="3">
        <v>5.0</v>
      </c>
      <c r="H68" s="3">
        <v>1.0</v>
      </c>
      <c r="I68" s="11">
        <f t="shared" si="1"/>
        <v>15</v>
      </c>
      <c r="J68" s="3">
        <v>80.0</v>
      </c>
      <c r="K68" s="33" t="s">
        <v>176</v>
      </c>
    </row>
    <row r="69" ht="15.75" customHeight="1">
      <c r="A69" s="3">
        <v>68.0</v>
      </c>
      <c r="B69" s="10" t="s">
        <v>87</v>
      </c>
      <c r="C69" s="10" t="s">
        <v>13</v>
      </c>
      <c r="D69" s="10" t="s">
        <v>14</v>
      </c>
      <c r="E69" s="3">
        <v>7.0</v>
      </c>
      <c r="F69" s="3">
        <v>5.0</v>
      </c>
      <c r="G69" s="3">
        <v>4.0</v>
      </c>
      <c r="H69" s="3">
        <v>-1.0</v>
      </c>
      <c r="I69" s="11">
        <f t="shared" si="1"/>
        <v>12</v>
      </c>
      <c r="J69" s="3">
        <v>60.0</v>
      </c>
      <c r="K69" s="33">
        <v>18.0</v>
      </c>
      <c r="L69" s="33">
        <v>85.0</v>
      </c>
    </row>
    <row r="70" ht="15.75" customHeight="1">
      <c r="A70" s="3">
        <v>69.0</v>
      </c>
      <c r="B70" s="10" t="s">
        <v>108</v>
      </c>
      <c r="C70" s="10" t="s">
        <v>11</v>
      </c>
      <c r="D70" s="10" t="s">
        <v>11</v>
      </c>
      <c r="E70" s="3">
        <v>7.0</v>
      </c>
      <c r="F70" s="3">
        <v>5.0</v>
      </c>
      <c r="G70" s="3">
        <v>5.0</v>
      </c>
      <c r="H70" s="3">
        <v>1.0</v>
      </c>
      <c r="I70" s="11">
        <f t="shared" si="1"/>
        <v>12</v>
      </c>
      <c r="J70" s="3">
        <v>80.0</v>
      </c>
      <c r="K70" s="33" t="s">
        <v>176</v>
      </c>
    </row>
    <row r="71" ht="15.75" customHeight="1">
      <c r="A71" s="3">
        <v>70.0</v>
      </c>
      <c r="B71" s="10" t="s">
        <v>88</v>
      </c>
      <c r="C71" s="10" t="s">
        <v>11</v>
      </c>
      <c r="D71" s="10" t="s">
        <v>14</v>
      </c>
      <c r="E71" s="3">
        <v>8.0</v>
      </c>
      <c r="F71" s="3">
        <v>7.0</v>
      </c>
      <c r="G71" s="3">
        <v>4.0</v>
      </c>
      <c r="H71" s="3">
        <v>-1.0</v>
      </c>
      <c r="I71" s="11">
        <f t="shared" si="1"/>
        <v>15</v>
      </c>
      <c r="J71" s="3">
        <v>80.0</v>
      </c>
      <c r="K71" s="33" t="s">
        <v>176</v>
      </c>
    </row>
    <row r="72" ht="15.75" customHeight="1">
      <c r="A72" s="3">
        <v>71.0</v>
      </c>
      <c r="B72" s="10" t="s">
        <v>142</v>
      </c>
      <c r="C72" s="10" t="s">
        <v>13</v>
      </c>
      <c r="D72" s="10" t="s">
        <v>11</v>
      </c>
      <c r="E72" s="3">
        <v>9.0</v>
      </c>
      <c r="F72" s="3">
        <v>8.0</v>
      </c>
      <c r="G72" s="3">
        <v>6.0</v>
      </c>
      <c r="H72" s="3">
        <v>1.0</v>
      </c>
      <c r="I72" s="11">
        <f t="shared" si="1"/>
        <v>17</v>
      </c>
      <c r="J72" s="3">
        <v>120.0</v>
      </c>
    </row>
    <row r="73" ht="15.75" customHeight="1">
      <c r="A73" s="3">
        <v>72.0</v>
      </c>
      <c r="B73" s="10" t="s">
        <v>89</v>
      </c>
      <c r="C73" s="10" t="s">
        <v>11</v>
      </c>
      <c r="D73" s="10" t="s">
        <v>14</v>
      </c>
      <c r="E73" s="3">
        <v>8.0</v>
      </c>
      <c r="F73" s="3">
        <v>7.0</v>
      </c>
      <c r="G73" s="3">
        <v>4.0</v>
      </c>
      <c r="H73" s="3">
        <v>1.0</v>
      </c>
      <c r="I73" s="11">
        <f t="shared" si="1"/>
        <v>15</v>
      </c>
      <c r="J73" s="3">
        <v>100.0</v>
      </c>
      <c r="K73" s="33">
        <v>9.0</v>
      </c>
      <c r="L73" s="33">
        <v>120.0</v>
      </c>
    </row>
    <row r="74" ht="15.75" customHeight="1">
      <c r="A74" s="3">
        <v>73.0</v>
      </c>
      <c r="B74" s="10" t="s">
        <v>35</v>
      </c>
      <c r="C74" s="10" t="s">
        <v>11</v>
      </c>
      <c r="D74" s="10" t="s">
        <v>14</v>
      </c>
      <c r="E74" s="3">
        <v>4.0</v>
      </c>
      <c r="F74" s="3">
        <v>4.0</v>
      </c>
      <c r="G74" s="3">
        <v>2.0</v>
      </c>
      <c r="H74" s="3">
        <v>1.0</v>
      </c>
      <c r="I74" s="11">
        <f t="shared" si="1"/>
        <v>8</v>
      </c>
      <c r="J74" s="3">
        <v>40.0</v>
      </c>
    </row>
    <row r="75" ht="15.75" customHeight="1">
      <c r="A75" s="3">
        <v>74.0</v>
      </c>
      <c r="B75" s="10" t="s">
        <v>90</v>
      </c>
      <c r="C75" s="10" t="s">
        <v>13</v>
      </c>
      <c r="D75" s="10" t="s">
        <v>14</v>
      </c>
      <c r="E75" s="3">
        <v>9.0</v>
      </c>
      <c r="F75" s="3">
        <v>6.0</v>
      </c>
      <c r="G75" s="3">
        <v>4.0</v>
      </c>
      <c r="H75" s="3">
        <v>-1.0</v>
      </c>
      <c r="I75" s="11">
        <f t="shared" si="1"/>
        <v>15</v>
      </c>
      <c r="J75" s="3">
        <v>100.0</v>
      </c>
    </row>
    <row r="76" ht="15.75" customHeight="1">
      <c r="A76" s="3">
        <v>75.0</v>
      </c>
      <c r="B76" s="10" t="s">
        <v>59</v>
      </c>
      <c r="C76" s="10" t="s">
        <v>13</v>
      </c>
      <c r="D76" s="10" t="s">
        <v>14</v>
      </c>
      <c r="E76" s="3">
        <v>6.0</v>
      </c>
      <c r="F76" s="3">
        <v>5.0</v>
      </c>
      <c r="G76" s="3">
        <v>3.0</v>
      </c>
      <c r="H76" s="3">
        <v>-1.0</v>
      </c>
      <c r="I76" s="11">
        <f t="shared" si="1"/>
        <v>11</v>
      </c>
      <c r="J76" s="3">
        <v>60.0</v>
      </c>
    </row>
    <row r="77" ht="15.75" customHeight="1">
      <c r="A77" s="3">
        <v>76.0</v>
      </c>
      <c r="B77" s="10" t="s">
        <v>60</v>
      </c>
      <c r="C77" s="10" t="s">
        <v>13</v>
      </c>
      <c r="D77" s="10" t="s">
        <v>14</v>
      </c>
      <c r="E77" s="3">
        <v>3.0</v>
      </c>
      <c r="F77" s="3">
        <v>3.0</v>
      </c>
      <c r="G77" s="3">
        <v>3.0</v>
      </c>
      <c r="H77" s="3">
        <v>1.0</v>
      </c>
      <c r="I77" s="11">
        <f t="shared" si="1"/>
        <v>6</v>
      </c>
      <c r="J77" s="3">
        <v>30.0</v>
      </c>
    </row>
    <row r="78" ht="15.75" customHeight="1">
      <c r="A78" s="3">
        <v>77.0</v>
      </c>
      <c r="B78" s="10" t="s">
        <v>23</v>
      </c>
      <c r="C78" s="10" t="s">
        <v>13</v>
      </c>
      <c r="D78" s="10" t="s">
        <v>11</v>
      </c>
      <c r="E78" s="3">
        <v>5.0</v>
      </c>
      <c r="F78" s="3">
        <v>5.0</v>
      </c>
      <c r="G78" s="3">
        <v>2.0</v>
      </c>
      <c r="H78" s="3">
        <v>1.0</v>
      </c>
      <c r="I78" s="11">
        <f t="shared" si="1"/>
        <v>10</v>
      </c>
      <c r="J78" s="3">
        <v>60.0</v>
      </c>
      <c r="K78" s="33">
        <v>2.0</v>
      </c>
      <c r="L78" s="33">
        <v>100.0</v>
      </c>
    </row>
    <row r="79" ht="15.75" customHeight="1">
      <c r="A79" s="3">
        <v>78.0</v>
      </c>
      <c r="B79" s="10" t="s">
        <v>91</v>
      </c>
      <c r="C79" s="10" t="s">
        <v>13</v>
      </c>
      <c r="D79" s="10" t="s">
        <v>14</v>
      </c>
      <c r="E79" s="3">
        <v>7.0</v>
      </c>
      <c r="F79" s="3">
        <v>8.0</v>
      </c>
      <c r="G79" s="3">
        <v>4.0</v>
      </c>
      <c r="H79" s="3">
        <v>1.0</v>
      </c>
      <c r="I79" s="11">
        <f t="shared" si="1"/>
        <v>15</v>
      </c>
      <c r="J79" s="3">
        <v>80.0</v>
      </c>
    </row>
    <row r="80" ht="15.75" customHeight="1">
      <c r="A80" s="3">
        <v>79.0</v>
      </c>
      <c r="B80" s="10" t="s">
        <v>124</v>
      </c>
      <c r="C80" s="10" t="s">
        <v>11</v>
      </c>
      <c r="D80" s="10" t="s">
        <v>14</v>
      </c>
      <c r="E80" s="3">
        <v>5.0</v>
      </c>
      <c r="F80" s="3">
        <v>6.0</v>
      </c>
      <c r="G80" s="3">
        <v>5.0</v>
      </c>
      <c r="H80" s="3">
        <v>1.0</v>
      </c>
      <c r="I80" s="11">
        <f t="shared" si="1"/>
        <v>11</v>
      </c>
      <c r="J80" s="3">
        <v>60.0</v>
      </c>
    </row>
    <row r="81" ht="15.75" customHeight="1">
      <c r="A81" s="3">
        <v>80.0</v>
      </c>
      <c r="B81" s="10" t="s">
        <v>92</v>
      </c>
      <c r="C81" s="10" t="s">
        <v>11</v>
      </c>
      <c r="D81" s="10" t="s">
        <v>14</v>
      </c>
      <c r="E81" s="3">
        <v>7.0</v>
      </c>
      <c r="F81" s="3">
        <v>6.0</v>
      </c>
      <c r="G81" s="3">
        <v>4.0</v>
      </c>
      <c r="H81" s="3">
        <v>-1.0</v>
      </c>
      <c r="I81" s="11">
        <f t="shared" si="1"/>
        <v>13</v>
      </c>
      <c r="J81" s="3">
        <v>80.0</v>
      </c>
      <c r="K81" s="33" t="s">
        <v>176</v>
      </c>
    </row>
    <row r="82" ht="15.75" customHeight="1">
      <c r="A82" s="3">
        <v>81.0</v>
      </c>
      <c r="B82" s="10" t="s">
        <v>18</v>
      </c>
      <c r="C82" s="10" t="s">
        <v>11</v>
      </c>
      <c r="D82" s="10" t="s">
        <v>14</v>
      </c>
      <c r="E82" s="3">
        <v>6.0</v>
      </c>
      <c r="F82" s="3">
        <v>6.0</v>
      </c>
      <c r="G82" s="3">
        <v>1.0</v>
      </c>
      <c r="H82" s="3">
        <v>-1.0</v>
      </c>
      <c r="I82" s="11">
        <f t="shared" si="1"/>
        <v>12</v>
      </c>
      <c r="J82" s="3">
        <v>60.0</v>
      </c>
      <c r="K82" s="33">
        <v>2.0</v>
      </c>
      <c r="L82" s="33">
        <v>130.0</v>
      </c>
    </row>
    <row r="83" ht="15.75" customHeight="1">
      <c r="A83" s="3">
        <v>82.0</v>
      </c>
      <c r="B83" s="10" t="s">
        <v>61</v>
      </c>
      <c r="C83" s="10" t="s">
        <v>11</v>
      </c>
      <c r="D83" s="10" t="s">
        <v>14</v>
      </c>
      <c r="E83" s="3">
        <v>6.0</v>
      </c>
      <c r="F83" s="3">
        <v>8.0</v>
      </c>
      <c r="G83" s="3">
        <v>3.0</v>
      </c>
      <c r="H83" s="3">
        <v>-1.0</v>
      </c>
      <c r="I83" s="11">
        <f t="shared" si="1"/>
        <v>14</v>
      </c>
      <c r="J83" s="3">
        <v>80.0</v>
      </c>
    </row>
    <row r="84" ht="15.75" customHeight="1">
      <c r="A84" s="3">
        <v>83.0</v>
      </c>
      <c r="B84" s="10" t="s">
        <v>36</v>
      </c>
      <c r="C84" s="10" t="s">
        <v>11</v>
      </c>
      <c r="D84" s="10" t="s">
        <v>14</v>
      </c>
      <c r="E84" s="3">
        <v>7.0</v>
      </c>
      <c r="F84" s="3">
        <v>8.0</v>
      </c>
      <c r="G84" s="3">
        <v>2.0</v>
      </c>
      <c r="H84" s="3">
        <v>1.0</v>
      </c>
      <c r="I84" s="11">
        <f t="shared" si="1"/>
        <v>15</v>
      </c>
      <c r="J84" s="3">
        <v>80.0</v>
      </c>
      <c r="K84" s="33" t="s">
        <v>176</v>
      </c>
    </row>
    <row r="85" ht="15.75" customHeight="1">
      <c r="A85" s="3">
        <v>84.0</v>
      </c>
      <c r="B85" s="10" t="s">
        <v>93</v>
      </c>
      <c r="C85" s="10" t="s">
        <v>11</v>
      </c>
      <c r="D85" s="10" t="s">
        <v>14</v>
      </c>
      <c r="E85" s="3">
        <v>7.0</v>
      </c>
      <c r="F85" s="3">
        <v>7.0</v>
      </c>
      <c r="G85" s="3">
        <v>4.0</v>
      </c>
      <c r="H85" s="3">
        <v>-1.0</v>
      </c>
      <c r="I85" s="11">
        <f t="shared" si="1"/>
        <v>14</v>
      </c>
      <c r="J85" s="3">
        <v>80.0</v>
      </c>
      <c r="K85" s="33" t="s">
        <v>176</v>
      </c>
    </row>
    <row r="86" ht="15.75" customHeight="1">
      <c r="A86" s="3">
        <v>85.0</v>
      </c>
      <c r="B86" s="10" t="s">
        <v>152</v>
      </c>
      <c r="C86" s="10" t="s">
        <v>11</v>
      </c>
      <c r="D86" s="10" t="s">
        <v>14</v>
      </c>
      <c r="E86" s="3">
        <v>4.0</v>
      </c>
      <c r="F86" s="3">
        <v>4.0</v>
      </c>
      <c r="G86" s="3">
        <v>6.0</v>
      </c>
      <c r="H86" s="3">
        <v>1.0</v>
      </c>
      <c r="I86" s="11">
        <f t="shared" si="1"/>
        <v>8</v>
      </c>
      <c r="J86" s="3">
        <v>40.0</v>
      </c>
      <c r="K86" s="33" t="s">
        <v>178</v>
      </c>
    </row>
    <row r="87" ht="15.75" customHeight="1">
      <c r="A87" s="3">
        <v>86.0</v>
      </c>
      <c r="B87" s="10" t="s">
        <v>125</v>
      </c>
      <c r="C87" s="10" t="s">
        <v>11</v>
      </c>
      <c r="D87" s="10" t="s">
        <v>14</v>
      </c>
      <c r="E87" s="3">
        <v>8.0</v>
      </c>
      <c r="F87" s="3">
        <v>7.0</v>
      </c>
      <c r="G87" s="3">
        <v>5.0</v>
      </c>
      <c r="H87" s="3">
        <v>1.0</v>
      </c>
      <c r="I87" s="11">
        <f t="shared" si="1"/>
        <v>15</v>
      </c>
      <c r="J87" s="3">
        <v>80.0</v>
      </c>
      <c r="K87" s="33">
        <v>18.0</v>
      </c>
      <c r="L87" s="33">
        <v>150.0</v>
      </c>
    </row>
    <row r="88" ht="15.75" customHeight="1">
      <c r="A88" s="3">
        <v>87.0</v>
      </c>
      <c r="B88" s="36" t="s">
        <v>77</v>
      </c>
      <c r="C88" s="15" t="s">
        <v>11</v>
      </c>
      <c r="D88" s="15" t="s">
        <v>11</v>
      </c>
      <c r="E88" s="15">
        <v>7.0</v>
      </c>
      <c r="F88" s="15">
        <v>6.0</v>
      </c>
      <c r="G88" s="15">
        <v>4.0</v>
      </c>
      <c r="H88" s="15">
        <v>-1.0</v>
      </c>
      <c r="I88" s="11">
        <f t="shared" si="1"/>
        <v>13</v>
      </c>
      <c r="J88" s="15">
        <v>80.0</v>
      </c>
      <c r="K88" s="33" t="s">
        <v>176</v>
      </c>
    </row>
    <row r="89" ht="15.75" customHeight="1">
      <c r="A89" s="3">
        <v>88.0</v>
      </c>
      <c r="B89" s="10" t="s">
        <v>169</v>
      </c>
      <c r="C89" s="10" t="s">
        <v>11</v>
      </c>
      <c r="D89" s="10" t="s">
        <v>14</v>
      </c>
      <c r="E89" s="3">
        <v>10.0</v>
      </c>
      <c r="F89" s="3">
        <v>8.0</v>
      </c>
      <c r="G89" s="3">
        <v>8.0</v>
      </c>
      <c r="H89" s="3">
        <v>-1.0</v>
      </c>
      <c r="I89" s="11">
        <f t="shared" si="1"/>
        <v>18</v>
      </c>
      <c r="J89" s="3">
        <v>120.0</v>
      </c>
      <c r="K89" s="33">
        <v>20.0</v>
      </c>
      <c r="L89" s="33">
        <v>175.0</v>
      </c>
    </row>
    <row r="90" ht="15.75" customHeight="1">
      <c r="A90" s="3">
        <v>89.0</v>
      </c>
      <c r="B90" s="10" t="s">
        <v>37</v>
      </c>
      <c r="C90" s="10" t="s">
        <v>13</v>
      </c>
      <c r="D90" s="10" t="s">
        <v>14</v>
      </c>
      <c r="E90" s="3">
        <v>5.0</v>
      </c>
      <c r="F90" s="3">
        <v>5.0</v>
      </c>
      <c r="G90" s="3">
        <v>2.0</v>
      </c>
      <c r="H90" s="3">
        <v>1.0</v>
      </c>
      <c r="I90" s="11">
        <f t="shared" si="1"/>
        <v>10</v>
      </c>
      <c r="J90" s="3">
        <v>60.0</v>
      </c>
      <c r="K90" s="33" t="s">
        <v>179</v>
      </c>
    </row>
    <row r="91" ht="15.75" customHeight="1">
      <c r="A91" s="3">
        <v>90.0</v>
      </c>
      <c r="B91" s="10" t="s">
        <v>170</v>
      </c>
      <c r="C91" s="10" t="s">
        <v>11</v>
      </c>
      <c r="D91" s="10" t="s">
        <v>14</v>
      </c>
      <c r="E91" s="3">
        <v>9.0</v>
      </c>
      <c r="F91" s="3">
        <v>8.0</v>
      </c>
      <c r="G91" s="3">
        <v>8.0</v>
      </c>
      <c r="H91" s="3">
        <v>1.0</v>
      </c>
      <c r="I91" s="11">
        <f t="shared" si="1"/>
        <v>17</v>
      </c>
      <c r="J91" s="3">
        <v>100.0</v>
      </c>
      <c r="K91" s="33" t="s">
        <v>178</v>
      </c>
    </row>
    <row r="92" ht="15.75" customHeight="1">
      <c r="A92" s="3">
        <v>91.0</v>
      </c>
      <c r="B92" s="10" t="s">
        <v>153</v>
      </c>
      <c r="C92" s="10" t="s">
        <v>11</v>
      </c>
      <c r="D92" s="10" t="s">
        <v>14</v>
      </c>
      <c r="E92" s="3">
        <v>8.0</v>
      </c>
      <c r="F92" s="3">
        <v>8.0</v>
      </c>
      <c r="G92" s="3">
        <v>6.0</v>
      </c>
      <c r="H92" s="3">
        <v>1.0</v>
      </c>
      <c r="I92" s="11">
        <f t="shared" si="1"/>
        <v>16</v>
      </c>
      <c r="J92" s="3">
        <v>100.0</v>
      </c>
      <c r="K92" s="33">
        <v>15.0</v>
      </c>
      <c r="L92" s="33">
        <v>150.0</v>
      </c>
    </row>
    <row r="93" ht="15.75" customHeight="1">
      <c r="A93" s="3">
        <v>92.0</v>
      </c>
      <c r="B93" s="10" t="s">
        <v>154</v>
      </c>
      <c r="C93" s="10" t="s">
        <v>11</v>
      </c>
      <c r="D93" s="10" t="s">
        <v>14</v>
      </c>
      <c r="E93" s="3">
        <v>4.0</v>
      </c>
      <c r="F93" s="3">
        <v>5.0</v>
      </c>
      <c r="G93" s="3">
        <v>6.0</v>
      </c>
      <c r="H93" s="3">
        <v>1.0</v>
      </c>
      <c r="I93" s="11">
        <f t="shared" si="1"/>
        <v>9</v>
      </c>
      <c r="J93" s="3">
        <v>40.0</v>
      </c>
    </row>
    <row r="94" ht="15.75" customHeight="1">
      <c r="A94" s="3">
        <v>93.0</v>
      </c>
      <c r="B94" s="10" t="s">
        <v>19</v>
      </c>
      <c r="C94" s="10" t="s">
        <v>13</v>
      </c>
      <c r="D94" s="10" t="s">
        <v>14</v>
      </c>
      <c r="E94" s="3">
        <v>6.0</v>
      </c>
      <c r="F94" s="3">
        <v>5.0</v>
      </c>
      <c r="G94" s="3">
        <v>1.0</v>
      </c>
      <c r="H94" s="3">
        <v>-1.0</v>
      </c>
      <c r="I94" s="11">
        <f t="shared" si="1"/>
        <v>11</v>
      </c>
      <c r="J94" s="3">
        <v>60.0</v>
      </c>
      <c r="L94" s="33">
        <v>130.0</v>
      </c>
    </row>
    <row r="95" ht="15.75" customHeight="1">
      <c r="A95" s="3">
        <v>94.0</v>
      </c>
      <c r="B95" s="10" t="s">
        <v>94</v>
      </c>
      <c r="C95" s="10" t="s">
        <v>13</v>
      </c>
      <c r="D95" s="10" t="s">
        <v>14</v>
      </c>
      <c r="E95" s="3">
        <v>3.0</v>
      </c>
      <c r="F95" s="3">
        <v>3.0</v>
      </c>
      <c r="G95" s="3">
        <v>4.0</v>
      </c>
      <c r="H95" s="3">
        <v>1.0</v>
      </c>
      <c r="I95" s="11">
        <f t="shared" si="1"/>
        <v>6</v>
      </c>
      <c r="J95" s="3">
        <v>30.0</v>
      </c>
      <c r="K95" s="33" t="s">
        <v>178</v>
      </c>
    </row>
    <row r="96" ht="15.75" customHeight="1">
      <c r="A96" s="3">
        <v>95.0</v>
      </c>
      <c r="B96" s="10" t="s">
        <v>109</v>
      </c>
      <c r="C96" s="10" t="s">
        <v>11</v>
      </c>
      <c r="D96" s="10" t="s">
        <v>11</v>
      </c>
      <c r="E96" s="3">
        <v>6.0</v>
      </c>
      <c r="F96" s="3">
        <v>6.0</v>
      </c>
      <c r="G96" s="3">
        <v>5.0</v>
      </c>
      <c r="H96" s="3">
        <v>-1.0</v>
      </c>
      <c r="I96" s="11">
        <f t="shared" si="1"/>
        <v>12</v>
      </c>
      <c r="J96" s="3">
        <v>60.0</v>
      </c>
      <c r="K96" s="33">
        <v>3.0</v>
      </c>
      <c r="L96" s="33">
        <v>120.0</v>
      </c>
    </row>
    <row r="97" ht="15.75" customHeight="1">
      <c r="A97" s="3">
        <v>96.0</v>
      </c>
      <c r="B97" s="10" t="s">
        <v>155</v>
      </c>
      <c r="C97" s="10" t="s">
        <v>11</v>
      </c>
      <c r="D97" s="10" t="s">
        <v>14</v>
      </c>
      <c r="E97" s="3">
        <v>7.0</v>
      </c>
      <c r="F97" s="3">
        <v>5.0</v>
      </c>
      <c r="G97" s="3">
        <v>6.0</v>
      </c>
      <c r="H97" s="3">
        <v>1.0</v>
      </c>
      <c r="I97" s="11">
        <f t="shared" si="1"/>
        <v>12</v>
      </c>
      <c r="J97" s="3">
        <v>60.0</v>
      </c>
    </row>
    <row r="98" ht="15.75" customHeight="1">
      <c r="A98" s="3">
        <v>97.0</v>
      </c>
      <c r="B98" s="10" t="s">
        <v>95</v>
      </c>
      <c r="C98" s="10" t="s">
        <v>13</v>
      </c>
      <c r="D98" s="10" t="s">
        <v>14</v>
      </c>
      <c r="E98" s="3">
        <v>5.0</v>
      </c>
      <c r="F98" s="3">
        <v>5.0</v>
      </c>
      <c r="G98" s="3">
        <v>4.0</v>
      </c>
      <c r="H98" s="3">
        <v>-1.0</v>
      </c>
      <c r="I98" s="11">
        <f t="shared" si="1"/>
        <v>10</v>
      </c>
      <c r="J98" s="3">
        <v>60.0</v>
      </c>
    </row>
    <row r="99" ht="15.75" customHeight="1">
      <c r="A99" s="3">
        <v>98.0</v>
      </c>
      <c r="B99" s="10" t="s">
        <v>156</v>
      </c>
      <c r="C99" s="10" t="s">
        <v>11</v>
      </c>
      <c r="D99" s="10" t="s">
        <v>14</v>
      </c>
      <c r="E99" s="3">
        <v>6.0</v>
      </c>
      <c r="F99" s="3">
        <v>4.0</v>
      </c>
      <c r="G99" s="3">
        <v>6.0</v>
      </c>
      <c r="H99" s="3">
        <v>1.0</v>
      </c>
      <c r="I99" s="11">
        <f t="shared" si="1"/>
        <v>10</v>
      </c>
      <c r="J99" s="3">
        <v>60.0</v>
      </c>
      <c r="K99" s="33">
        <v>1.0</v>
      </c>
      <c r="L99" s="33">
        <v>80.0</v>
      </c>
    </row>
    <row r="100" ht="15.75" customHeight="1">
      <c r="A100" s="3">
        <v>99.0</v>
      </c>
      <c r="B100" s="10" t="s">
        <v>157</v>
      </c>
      <c r="C100" s="10" t="s">
        <v>11</v>
      </c>
      <c r="D100" s="10" t="s">
        <v>14</v>
      </c>
      <c r="E100" s="3">
        <v>9.0</v>
      </c>
      <c r="F100" s="3">
        <v>8.0</v>
      </c>
      <c r="G100" s="3">
        <v>6.0</v>
      </c>
      <c r="H100" s="3">
        <v>1.0</v>
      </c>
      <c r="I100" s="11">
        <f t="shared" si="1"/>
        <v>17</v>
      </c>
      <c r="J100" s="3">
        <v>100.0</v>
      </c>
    </row>
    <row r="101" ht="15.75" customHeight="1">
      <c r="A101" s="3">
        <v>100.0</v>
      </c>
      <c r="B101" s="10" t="s">
        <v>96</v>
      </c>
      <c r="C101" s="10" t="s">
        <v>11</v>
      </c>
      <c r="D101" s="10" t="s">
        <v>14</v>
      </c>
      <c r="E101" s="3">
        <v>7.0</v>
      </c>
      <c r="F101" s="3">
        <v>7.0</v>
      </c>
      <c r="G101" s="3">
        <v>4.0</v>
      </c>
      <c r="H101" s="3">
        <v>1.0</v>
      </c>
      <c r="I101" s="11">
        <f t="shared" si="1"/>
        <v>14</v>
      </c>
      <c r="J101" s="3">
        <v>80.0</v>
      </c>
    </row>
    <row r="102" ht="15.75" customHeight="1">
      <c r="A102" s="3">
        <v>101.0</v>
      </c>
      <c r="B102" s="10" t="s">
        <v>110</v>
      </c>
      <c r="C102" s="10" t="s">
        <v>11</v>
      </c>
      <c r="D102" s="10" t="s">
        <v>11</v>
      </c>
      <c r="E102" s="3">
        <v>8.0</v>
      </c>
      <c r="F102" s="3">
        <v>8.0</v>
      </c>
      <c r="G102" s="3">
        <v>5.0</v>
      </c>
      <c r="H102" s="3">
        <v>1.0</v>
      </c>
      <c r="I102" s="11">
        <f t="shared" si="1"/>
        <v>16</v>
      </c>
      <c r="J102" s="3">
        <v>100.0</v>
      </c>
      <c r="K102" s="33">
        <v>16.0</v>
      </c>
    </row>
    <row r="103" ht="15.75" customHeight="1">
      <c r="A103" s="3">
        <v>102.0</v>
      </c>
      <c r="B103" s="10" t="s">
        <v>97</v>
      </c>
      <c r="C103" s="10" t="s">
        <v>13</v>
      </c>
      <c r="D103" s="10" t="s">
        <v>14</v>
      </c>
      <c r="E103" s="3">
        <v>5.0</v>
      </c>
      <c r="F103" s="3">
        <v>6.0</v>
      </c>
      <c r="G103" s="3">
        <v>4.0</v>
      </c>
      <c r="H103" s="3">
        <v>-1.0</v>
      </c>
      <c r="I103" s="11">
        <f t="shared" si="1"/>
        <v>11</v>
      </c>
      <c r="J103" s="3">
        <v>60.0</v>
      </c>
      <c r="K103" s="33" t="s">
        <v>176</v>
      </c>
    </row>
    <row r="104" ht="15.75" customHeight="1">
      <c r="A104" s="3">
        <v>103.0</v>
      </c>
      <c r="B104" s="10" t="s">
        <v>111</v>
      </c>
      <c r="C104" s="10" t="s">
        <v>11</v>
      </c>
      <c r="D104" s="10" t="s">
        <v>11</v>
      </c>
      <c r="E104" s="3">
        <v>4.0</v>
      </c>
      <c r="F104" s="3">
        <v>5.0</v>
      </c>
      <c r="G104" s="3">
        <v>5.0</v>
      </c>
      <c r="H104" s="3">
        <v>-1.0</v>
      </c>
      <c r="I104" s="11">
        <f t="shared" si="1"/>
        <v>9</v>
      </c>
      <c r="J104" s="3">
        <v>50.0</v>
      </c>
    </row>
    <row r="105" ht="15.75" customHeight="1">
      <c r="A105" s="3">
        <v>104.0</v>
      </c>
      <c r="B105" s="10" t="s">
        <v>62</v>
      </c>
      <c r="C105" s="10" t="s">
        <v>13</v>
      </c>
      <c r="D105" s="10" t="s">
        <v>14</v>
      </c>
      <c r="E105" s="3">
        <v>5.0</v>
      </c>
      <c r="F105" s="3">
        <v>5.0</v>
      </c>
      <c r="G105" s="3">
        <v>3.0</v>
      </c>
      <c r="H105" s="3">
        <v>-1.0</v>
      </c>
      <c r="I105" s="11">
        <f t="shared" si="1"/>
        <v>10</v>
      </c>
      <c r="J105" s="3">
        <v>60.0</v>
      </c>
      <c r="K105" s="33">
        <v>14.0</v>
      </c>
      <c r="L105" s="33">
        <v>105.0</v>
      </c>
    </row>
    <row r="106" ht="15.75" customHeight="1">
      <c r="A106" s="3">
        <v>105.0</v>
      </c>
      <c r="B106" s="10" t="s">
        <v>126</v>
      </c>
      <c r="C106" s="10" t="s">
        <v>11</v>
      </c>
      <c r="D106" s="10" t="s">
        <v>14</v>
      </c>
      <c r="E106" s="3">
        <v>4.0</v>
      </c>
      <c r="F106" s="3">
        <v>4.0</v>
      </c>
      <c r="G106" s="3">
        <v>5.0</v>
      </c>
      <c r="H106" s="3">
        <v>-1.0</v>
      </c>
      <c r="I106" s="11">
        <f t="shared" si="1"/>
        <v>8</v>
      </c>
      <c r="J106" s="3">
        <v>40.0</v>
      </c>
      <c r="K106" s="33">
        <v>14.0</v>
      </c>
      <c r="L106" s="33">
        <v>45.0</v>
      </c>
    </row>
    <row r="107" ht="15.75" customHeight="1">
      <c r="A107" s="3">
        <v>106.0</v>
      </c>
      <c r="B107" s="10" t="s">
        <v>63</v>
      </c>
      <c r="C107" s="10" t="s">
        <v>13</v>
      </c>
      <c r="D107" s="10" t="s">
        <v>14</v>
      </c>
      <c r="E107" s="3">
        <v>7.0</v>
      </c>
      <c r="F107" s="3">
        <v>5.0</v>
      </c>
      <c r="G107" s="3">
        <v>3.0</v>
      </c>
      <c r="H107" s="3">
        <v>-1.0</v>
      </c>
      <c r="I107" s="11">
        <f t="shared" si="1"/>
        <v>12</v>
      </c>
      <c r="J107" s="3">
        <v>60.0</v>
      </c>
      <c r="K107" s="33">
        <v>18.0</v>
      </c>
      <c r="L107" s="33">
        <v>125.0</v>
      </c>
    </row>
    <row r="108" ht="15.75" customHeight="1">
      <c r="A108" s="3">
        <v>107.0</v>
      </c>
      <c r="B108" s="10" t="s">
        <v>127</v>
      </c>
      <c r="C108" s="10" t="s">
        <v>11</v>
      </c>
      <c r="D108" s="10" t="s">
        <v>14</v>
      </c>
      <c r="E108" s="3">
        <v>6.0</v>
      </c>
      <c r="F108" s="3">
        <v>4.0</v>
      </c>
      <c r="G108" s="3">
        <v>5.0</v>
      </c>
      <c r="H108" s="3">
        <v>-1.0</v>
      </c>
      <c r="I108" s="11">
        <f t="shared" si="1"/>
        <v>10</v>
      </c>
      <c r="J108" s="3">
        <v>50.0</v>
      </c>
    </row>
    <row r="109" ht="15.75" customHeight="1">
      <c r="A109" s="3">
        <v>108.0</v>
      </c>
      <c r="B109" s="10" t="s">
        <v>64</v>
      </c>
      <c r="C109" s="10" t="s">
        <v>13</v>
      </c>
      <c r="D109" s="10" t="s">
        <v>14</v>
      </c>
      <c r="E109" s="3">
        <v>6.0</v>
      </c>
      <c r="F109" s="3">
        <v>7.0</v>
      </c>
      <c r="G109" s="3">
        <v>3.0</v>
      </c>
      <c r="H109" s="3">
        <v>1.0</v>
      </c>
      <c r="I109" s="11">
        <f t="shared" si="1"/>
        <v>13</v>
      </c>
      <c r="J109" s="3">
        <v>80.0</v>
      </c>
      <c r="K109" s="33">
        <v>12.0</v>
      </c>
      <c r="L109" s="33">
        <v>135.0</v>
      </c>
    </row>
    <row r="110" ht="15.75" customHeight="1">
      <c r="A110" s="3">
        <v>109.0</v>
      </c>
      <c r="B110" s="10" t="s">
        <v>98</v>
      </c>
      <c r="C110" s="10" t="s">
        <v>13</v>
      </c>
      <c r="D110" s="10" t="s">
        <v>14</v>
      </c>
      <c r="E110" s="3">
        <v>6.0</v>
      </c>
      <c r="F110" s="3">
        <v>6.0</v>
      </c>
      <c r="G110" s="3">
        <v>4.0</v>
      </c>
      <c r="H110" s="3">
        <v>1.0</v>
      </c>
      <c r="I110" s="11">
        <f t="shared" si="1"/>
        <v>12</v>
      </c>
      <c r="J110" s="3">
        <v>60.0</v>
      </c>
    </row>
    <row r="111" ht="15.75" customHeight="1">
      <c r="A111" s="3">
        <v>110.0</v>
      </c>
      <c r="B111" s="10" t="s">
        <v>65</v>
      </c>
      <c r="C111" s="10" t="s">
        <v>13</v>
      </c>
      <c r="D111" s="10" t="s">
        <v>14</v>
      </c>
      <c r="E111" s="3">
        <v>6.0</v>
      </c>
      <c r="F111" s="3">
        <v>6.0</v>
      </c>
      <c r="G111" s="3">
        <v>3.0</v>
      </c>
      <c r="H111" s="3">
        <v>-1.0</v>
      </c>
      <c r="I111" s="11">
        <f t="shared" si="1"/>
        <v>12</v>
      </c>
      <c r="J111" s="3">
        <v>60.0</v>
      </c>
    </row>
    <row r="112" ht="15.75" customHeight="1">
      <c r="A112" s="3">
        <v>111.0</v>
      </c>
      <c r="B112" s="10" t="s">
        <v>99</v>
      </c>
      <c r="C112" s="10" t="s">
        <v>13</v>
      </c>
      <c r="D112" s="10" t="s">
        <v>14</v>
      </c>
      <c r="E112" s="3">
        <v>5.0</v>
      </c>
      <c r="F112" s="3">
        <v>5.0</v>
      </c>
      <c r="G112" s="3">
        <v>4.0</v>
      </c>
      <c r="H112" s="3">
        <v>-1.0</v>
      </c>
      <c r="I112" s="11">
        <f t="shared" si="1"/>
        <v>10</v>
      </c>
      <c r="J112" s="3">
        <v>60.0</v>
      </c>
      <c r="K112" s="33" t="s">
        <v>178</v>
      </c>
    </row>
    <row r="113" ht="15.75" customHeight="1">
      <c r="A113" s="3">
        <v>112.0</v>
      </c>
      <c r="B113" s="10" t="s">
        <v>100</v>
      </c>
      <c r="C113" s="10" t="s">
        <v>13</v>
      </c>
      <c r="D113" s="10" t="s">
        <v>14</v>
      </c>
      <c r="E113" s="3">
        <v>5.0</v>
      </c>
      <c r="F113" s="3">
        <v>4.0</v>
      </c>
      <c r="G113" s="3">
        <v>4.0</v>
      </c>
      <c r="H113" s="3">
        <v>1.0</v>
      </c>
      <c r="I113" s="11">
        <f t="shared" si="1"/>
        <v>9</v>
      </c>
      <c r="J113" s="3">
        <v>50.0</v>
      </c>
      <c r="K113" s="33" t="s">
        <v>176</v>
      </c>
    </row>
    <row r="114" ht="15.75" customHeight="1">
      <c r="A114" s="3">
        <v>113.0</v>
      </c>
      <c r="B114" s="10" t="s">
        <v>101</v>
      </c>
      <c r="C114" s="10" t="s">
        <v>13</v>
      </c>
      <c r="D114" s="10" t="s">
        <v>14</v>
      </c>
      <c r="E114" s="3">
        <v>5.0</v>
      </c>
      <c r="F114" s="3">
        <v>6.0</v>
      </c>
      <c r="G114" s="3">
        <v>4.0</v>
      </c>
      <c r="H114" s="3">
        <v>1.0</v>
      </c>
      <c r="I114" s="11">
        <f t="shared" si="1"/>
        <v>11</v>
      </c>
      <c r="J114" s="3">
        <v>60.0</v>
      </c>
    </row>
    <row r="115" ht="15.75" customHeight="1">
      <c r="A115" s="3">
        <v>114.0</v>
      </c>
      <c r="B115" s="10" t="s">
        <v>44</v>
      </c>
      <c r="C115" s="10" t="s">
        <v>13</v>
      </c>
      <c r="D115" s="10" t="s">
        <v>11</v>
      </c>
      <c r="E115" s="3">
        <v>7.0</v>
      </c>
      <c r="F115" s="3">
        <v>5.0</v>
      </c>
      <c r="G115" s="3">
        <v>3.0</v>
      </c>
      <c r="H115" s="3">
        <v>-1.0</v>
      </c>
      <c r="I115" s="11">
        <f t="shared" si="1"/>
        <v>12</v>
      </c>
      <c r="J115" s="3">
        <v>80.0</v>
      </c>
      <c r="K115" s="33" t="s">
        <v>176</v>
      </c>
    </row>
    <row r="116" ht="15.75" customHeight="1">
      <c r="A116" s="3">
        <v>115.0</v>
      </c>
      <c r="B116" s="10" t="s">
        <v>128</v>
      </c>
      <c r="C116" s="10" t="s">
        <v>11</v>
      </c>
      <c r="D116" s="10" t="s">
        <v>14</v>
      </c>
      <c r="E116" s="3">
        <v>5.0</v>
      </c>
      <c r="F116" s="3">
        <v>5.0</v>
      </c>
      <c r="G116" s="3">
        <v>5.0</v>
      </c>
      <c r="H116" s="3">
        <v>1.0</v>
      </c>
      <c r="I116" s="11">
        <f t="shared" si="1"/>
        <v>10</v>
      </c>
      <c r="J116" s="3">
        <v>50.0</v>
      </c>
    </row>
    <row r="117" ht="15.75" customHeight="1">
      <c r="A117" s="3">
        <v>116.0</v>
      </c>
      <c r="B117" s="10" t="s">
        <v>66</v>
      </c>
      <c r="C117" s="10" t="s">
        <v>11</v>
      </c>
      <c r="D117" s="10" t="s">
        <v>14</v>
      </c>
      <c r="E117" s="3">
        <v>6.0</v>
      </c>
      <c r="F117" s="3">
        <v>5.0</v>
      </c>
      <c r="G117" s="3">
        <v>3.0</v>
      </c>
      <c r="H117" s="3">
        <v>-1.0</v>
      </c>
      <c r="I117" s="11">
        <f t="shared" si="1"/>
        <v>11</v>
      </c>
      <c r="J117" s="3">
        <v>60.0</v>
      </c>
      <c r="K117" s="33">
        <v>12.0</v>
      </c>
      <c r="L117" s="33">
        <v>105.0</v>
      </c>
    </row>
    <row r="118" ht="15.75" customHeight="1">
      <c r="A118" s="3">
        <v>117.0</v>
      </c>
      <c r="B118" s="10" t="s">
        <v>67</v>
      </c>
      <c r="C118" s="10" t="s">
        <v>11</v>
      </c>
      <c r="D118" s="10" t="s">
        <v>14</v>
      </c>
      <c r="E118" s="3">
        <v>7.0</v>
      </c>
      <c r="F118" s="3">
        <v>7.0</v>
      </c>
      <c r="G118" s="3">
        <v>3.0</v>
      </c>
      <c r="H118" s="3">
        <v>-1.0</v>
      </c>
      <c r="I118" s="11">
        <f t="shared" si="1"/>
        <v>14</v>
      </c>
      <c r="J118" s="3">
        <v>80.0</v>
      </c>
    </row>
    <row r="119" ht="15.75" customHeight="1">
      <c r="A119" s="3">
        <v>118.0</v>
      </c>
      <c r="B119" s="10" t="s">
        <v>129</v>
      </c>
      <c r="C119" s="10" t="s">
        <v>11</v>
      </c>
      <c r="D119" s="10" t="s">
        <v>14</v>
      </c>
      <c r="E119" s="3">
        <v>5.0</v>
      </c>
      <c r="F119" s="3">
        <v>5.0</v>
      </c>
      <c r="G119" s="3">
        <v>5.0</v>
      </c>
      <c r="H119" s="3">
        <v>1.0</v>
      </c>
      <c r="I119" s="11">
        <f t="shared" si="1"/>
        <v>10</v>
      </c>
      <c r="J119" s="3">
        <v>60.0</v>
      </c>
      <c r="K119" s="33">
        <v>12.0</v>
      </c>
      <c r="L119" s="33">
        <v>60.0</v>
      </c>
    </row>
    <row r="120" ht="15.75" customHeight="1">
      <c r="A120" s="3">
        <v>119.0</v>
      </c>
      <c r="B120" s="10" t="s">
        <v>38</v>
      </c>
      <c r="C120" s="10" t="s">
        <v>13</v>
      </c>
      <c r="D120" s="10" t="s">
        <v>14</v>
      </c>
      <c r="E120" s="3">
        <v>10.0</v>
      </c>
      <c r="F120" s="3">
        <v>10.0</v>
      </c>
      <c r="G120" s="3">
        <v>2.0</v>
      </c>
      <c r="H120" s="3">
        <v>-1.0</v>
      </c>
      <c r="I120" s="11">
        <f t="shared" si="1"/>
        <v>20</v>
      </c>
      <c r="J120" s="3">
        <v>120.0</v>
      </c>
      <c r="K120" s="33">
        <v>10.0</v>
      </c>
      <c r="L120" s="33">
        <v>195.0</v>
      </c>
    </row>
    <row r="121" ht="15.75" customHeight="1">
      <c r="A121" s="3">
        <v>120.0</v>
      </c>
      <c r="B121" s="10" t="s">
        <v>130</v>
      </c>
      <c r="C121" s="10" t="s">
        <v>13</v>
      </c>
      <c r="D121" s="10" t="s">
        <v>14</v>
      </c>
      <c r="E121" s="3">
        <v>6.0</v>
      </c>
      <c r="F121" s="3">
        <v>6.0</v>
      </c>
      <c r="G121" s="3">
        <v>5.0</v>
      </c>
      <c r="H121" s="3">
        <v>-1.0</v>
      </c>
      <c r="I121" s="11">
        <f t="shared" si="1"/>
        <v>12</v>
      </c>
      <c r="J121" s="3">
        <v>60.0</v>
      </c>
      <c r="K121" s="33" t="s">
        <v>180</v>
      </c>
    </row>
    <row r="122" ht="15.75" customHeight="1">
      <c r="A122" s="3">
        <v>121.0</v>
      </c>
      <c r="B122" s="20" t="s">
        <v>165</v>
      </c>
      <c r="C122" s="10" t="s">
        <v>11</v>
      </c>
      <c r="D122" s="10" t="s">
        <v>14</v>
      </c>
      <c r="E122" s="3">
        <v>8.0</v>
      </c>
      <c r="F122" s="3">
        <v>8.0</v>
      </c>
      <c r="G122" s="3">
        <v>7.0</v>
      </c>
      <c r="H122" s="3">
        <v>-1.0</v>
      </c>
      <c r="I122" s="11">
        <f t="shared" si="1"/>
        <v>16</v>
      </c>
      <c r="J122" s="3">
        <v>100.0</v>
      </c>
      <c r="K122" s="33" t="s">
        <v>181</v>
      </c>
    </row>
    <row r="123" ht="15.75" customHeight="1">
      <c r="A123" s="3">
        <v>122.0</v>
      </c>
      <c r="B123" s="10" t="s">
        <v>166</v>
      </c>
      <c r="C123" s="10" t="s">
        <v>11</v>
      </c>
      <c r="D123" s="10" t="s">
        <v>14</v>
      </c>
      <c r="E123" s="3">
        <v>7.0</v>
      </c>
      <c r="F123" s="3">
        <v>8.0</v>
      </c>
      <c r="G123" s="3">
        <v>7.0</v>
      </c>
      <c r="H123" s="3">
        <v>1.0</v>
      </c>
      <c r="I123" s="11">
        <f t="shared" si="1"/>
        <v>15</v>
      </c>
      <c r="J123" s="3">
        <v>80.0</v>
      </c>
    </row>
    <row r="124" ht="15.75" customHeight="1">
      <c r="A124" s="3">
        <v>123.0</v>
      </c>
      <c r="B124" s="10" t="s">
        <v>68</v>
      </c>
      <c r="C124" s="10" t="s">
        <v>13</v>
      </c>
      <c r="D124" s="10" t="s">
        <v>14</v>
      </c>
      <c r="E124" s="3">
        <v>4.0</v>
      </c>
      <c r="F124" s="3">
        <v>5.0</v>
      </c>
      <c r="G124" s="3">
        <v>3.0</v>
      </c>
      <c r="H124" s="3">
        <v>1.0</v>
      </c>
      <c r="I124" s="11">
        <f t="shared" si="1"/>
        <v>9</v>
      </c>
      <c r="J124" s="3">
        <v>50.0</v>
      </c>
    </row>
    <row r="125" ht="15.75" customHeight="1">
      <c r="A125" s="3">
        <v>124.0</v>
      </c>
      <c r="B125" s="10" t="s">
        <v>102</v>
      </c>
      <c r="C125" s="10" t="s">
        <v>11</v>
      </c>
      <c r="D125" s="10" t="s">
        <v>14</v>
      </c>
      <c r="E125" s="3">
        <v>8.0</v>
      </c>
      <c r="F125" s="3">
        <v>8.0</v>
      </c>
      <c r="G125" s="3">
        <v>4.0</v>
      </c>
      <c r="H125" s="3">
        <v>1.0</v>
      </c>
      <c r="I125" s="11">
        <f t="shared" si="1"/>
        <v>16</v>
      </c>
      <c r="J125" s="3">
        <v>100.0</v>
      </c>
    </row>
    <row r="126" ht="15.75" customHeight="1">
      <c r="A126" s="3">
        <v>125.0</v>
      </c>
      <c r="B126" s="10" t="s">
        <v>172</v>
      </c>
      <c r="C126" s="10" t="s">
        <v>11</v>
      </c>
      <c r="D126" s="10" t="s">
        <v>14</v>
      </c>
      <c r="E126" s="3">
        <v>10.0</v>
      </c>
      <c r="F126" s="3">
        <v>10.0</v>
      </c>
      <c r="G126" s="3">
        <v>9.0</v>
      </c>
      <c r="H126" s="3">
        <v>1.0</v>
      </c>
      <c r="I126" s="11">
        <f t="shared" si="1"/>
        <v>20</v>
      </c>
      <c r="J126" s="3">
        <v>120.0</v>
      </c>
    </row>
    <row r="127" ht="15.75" customHeight="1">
      <c r="A127" s="3">
        <v>126.0</v>
      </c>
      <c r="B127" s="10" t="s">
        <v>69</v>
      </c>
      <c r="C127" s="10" t="s">
        <v>13</v>
      </c>
      <c r="D127" s="10" t="s">
        <v>14</v>
      </c>
      <c r="E127" s="3">
        <v>4.0</v>
      </c>
      <c r="F127" s="3">
        <v>4.0</v>
      </c>
      <c r="G127" s="3">
        <v>3.0</v>
      </c>
      <c r="H127" s="3">
        <v>1.0</v>
      </c>
      <c r="I127" s="11">
        <f t="shared" si="1"/>
        <v>8</v>
      </c>
      <c r="J127" s="3">
        <v>50.0</v>
      </c>
    </row>
    <row r="128" ht="15.75" customHeight="1">
      <c r="A128" s="3">
        <v>127.0</v>
      </c>
      <c r="B128" s="10" t="s">
        <v>45</v>
      </c>
      <c r="C128" s="10" t="s">
        <v>13</v>
      </c>
      <c r="D128" s="10" t="s">
        <v>11</v>
      </c>
      <c r="E128" s="3">
        <v>6.0</v>
      </c>
      <c r="F128" s="3">
        <v>6.0</v>
      </c>
      <c r="G128" s="3">
        <v>3.0</v>
      </c>
      <c r="H128" s="3">
        <v>-1.0</v>
      </c>
      <c r="I128" s="11">
        <f t="shared" si="1"/>
        <v>12</v>
      </c>
      <c r="J128" s="3">
        <v>60.0</v>
      </c>
      <c r="K128" s="33">
        <v>11.0</v>
      </c>
      <c r="L128" s="33">
        <v>150.0</v>
      </c>
    </row>
    <row r="129" ht="15.75" customHeight="1">
      <c r="A129" s="3">
        <v>128.0</v>
      </c>
      <c r="B129" s="10" t="s">
        <v>131</v>
      </c>
      <c r="C129" s="10" t="s">
        <v>13</v>
      </c>
      <c r="D129" s="10" t="s">
        <v>14</v>
      </c>
      <c r="E129" s="3">
        <v>4.0</v>
      </c>
      <c r="F129" s="3">
        <v>4.0</v>
      </c>
      <c r="G129" s="3">
        <v>5.0</v>
      </c>
      <c r="H129" s="3">
        <v>1.0</v>
      </c>
      <c r="I129" s="11">
        <f t="shared" si="1"/>
        <v>8</v>
      </c>
      <c r="J129" s="3">
        <v>40.0</v>
      </c>
    </row>
    <row r="130" ht="15.75" customHeight="1">
      <c r="A130" s="3">
        <v>129.0</v>
      </c>
      <c r="B130" s="10" t="s">
        <v>132</v>
      </c>
      <c r="C130" s="10" t="s">
        <v>11</v>
      </c>
      <c r="D130" s="10" t="s">
        <v>14</v>
      </c>
      <c r="E130" s="3">
        <v>6.0</v>
      </c>
      <c r="F130" s="3">
        <v>5.0</v>
      </c>
      <c r="G130" s="3">
        <v>5.0</v>
      </c>
      <c r="H130" s="3">
        <v>-1.0</v>
      </c>
      <c r="I130" s="11">
        <f t="shared" si="1"/>
        <v>11</v>
      </c>
      <c r="J130" s="3">
        <v>60.0</v>
      </c>
    </row>
    <row r="131" ht="15.75" customHeight="1">
      <c r="A131" s="3">
        <v>130.0</v>
      </c>
      <c r="B131" s="10" t="s">
        <v>70</v>
      </c>
      <c r="C131" s="10" t="s">
        <v>13</v>
      </c>
      <c r="D131" s="10" t="s">
        <v>14</v>
      </c>
      <c r="E131" s="3">
        <v>6.0</v>
      </c>
      <c r="F131" s="3">
        <v>6.0</v>
      </c>
      <c r="G131" s="3">
        <v>3.0</v>
      </c>
      <c r="H131" s="3">
        <v>1.0</v>
      </c>
      <c r="I131" s="11">
        <f t="shared" si="1"/>
        <v>12</v>
      </c>
      <c r="J131" s="3">
        <v>60.0</v>
      </c>
      <c r="K131" s="33">
        <v>10.0</v>
      </c>
      <c r="L131" s="33">
        <v>130.0</v>
      </c>
    </row>
    <row r="132" ht="17.25" customHeight="1">
      <c r="A132" s="3">
        <v>131.0</v>
      </c>
      <c r="B132" s="10" t="s">
        <v>171</v>
      </c>
      <c r="C132" s="10" t="s">
        <v>11</v>
      </c>
      <c r="D132" s="10" t="s">
        <v>14</v>
      </c>
      <c r="E132" s="3">
        <v>7.0</v>
      </c>
      <c r="F132" s="3">
        <v>4.0</v>
      </c>
      <c r="G132" s="3">
        <v>8.0</v>
      </c>
      <c r="H132" s="3">
        <v>1.0</v>
      </c>
      <c r="I132" s="11">
        <f t="shared" si="1"/>
        <v>11</v>
      </c>
      <c r="J132" s="3">
        <v>60.0</v>
      </c>
      <c r="K132" s="33" t="s">
        <v>178</v>
      </c>
    </row>
    <row r="133" ht="15.75" customHeight="1">
      <c r="A133" s="3">
        <v>132.0</v>
      </c>
      <c r="B133" s="10" t="s">
        <v>78</v>
      </c>
      <c r="C133" s="10" t="s">
        <v>13</v>
      </c>
      <c r="D133" s="10" t="s">
        <v>11</v>
      </c>
      <c r="E133" s="3">
        <v>4.0</v>
      </c>
      <c r="F133" s="3">
        <v>4.0</v>
      </c>
      <c r="G133" s="3">
        <v>4.0</v>
      </c>
      <c r="H133" s="3">
        <v>1.0</v>
      </c>
      <c r="I133" s="11">
        <f t="shared" si="1"/>
        <v>8</v>
      </c>
      <c r="J133" s="3">
        <v>50.0</v>
      </c>
    </row>
    <row r="134" ht="15.75" customHeight="1">
      <c r="A134" s="3">
        <v>133.0</v>
      </c>
      <c r="B134" s="10" t="s">
        <v>167</v>
      </c>
      <c r="C134" s="10" t="s">
        <v>11</v>
      </c>
      <c r="D134" s="10" t="s">
        <v>14</v>
      </c>
      <c r="E134" s="3">
        <v>6.0</v>
      </c>
      <c r="F134" s="3">
        <v>7.0</v>
      </c>
      <c r="G134" s="3">
        <v>7.0</v>
      </c>
      <c r="H134" s="3">
        <v>1.0</v>
      </c>
      <c r="I134" s="11">
        <f t="shared" si="1"/>
        <v>13</v>
      </c>
      <c r="J134" s="3">
        <v>60.0</v>
      </c>
    </row>
    <row r="135" ht="15.75" customHeight="1">
      <c r="A135" s="3">
        <v>134.0</v>
      </c>
      <c r="B135" s="10" t="s">
        <v>24</v>
      </c>
      <c r="C135" s="10" t="s">
        <v>11</v>
      </c>
      <c r="D135" s="10" t="s">
        <v>11</v>
      </c>
      <c r="E135" s="3">
        <v>4.0</v>
      </c>
      <c r="F135" s="3">
        <v>5.0</v>
      </c>
      <c r="G135" s="3">
        <v>2.0</v>
      </c>
      <c r="H135" s="3">
        <v>-1.0</v>
      </c>
      <c r="I135" s="11">
        <f t="shared" si="1"/>
        <v>9</v>
      </c>
      <c r="J135" s="3">
        <v>50.0</v>
      </c>
      <c r="K135" s="33" t="s">
        <v>176</v>
      </c>
    </row>
    <row r="136" ht="15.75" customHeight="1">
      <c r="A136" s="3">
        <v>135.0</v>
      </c>
      <c r="B136" s="10" t="s">
        <v>103</v>
      </c>
      <c r="C136" s="10" t="s">
        <v>13</v>
      </c>
      <c r="D136" s="10" t="s">
        <v>14</v>
      </c>
      <c r="E136" s="3">
        <v>5.0</v>
      </c>
      <c r="F136" s="3">
        <v>4.0</v>
      </c>
      <c r="G136" s="3">
        <v>4.0</v>
      </c>
      <c r="H136" s="3">
        <v>1.0</v>
      </c>
      <c r="I136" s="11">
        <f t="shared" si="1"/>
        <v>9</v>
      </c>
      <c r="J136" s="3">
        <v>40.0</v>
      </c>
      <c r="K136" s="33">
        <v>5.0</v>
      </c>
      <c r="L136" s="33">
        <v>75.0</v>
      </c>
    </row>
    <row r="137" ht="15.75" customHeight="1">
      <c r="A137" s="3">
        <v>136.0</v>
      </c>
      <c r="B137" s="10" t="s">
        <v>133</v>
      </c>
      <c r="C137" s="10" t="s">
        <v>13</v>
      </c>
      <c r="D137" s="10" t="s">
        <v>14</v>
      </c>
      <c r="E137" s="3">
        <v>9.0</v>
      </c>
      <c r="F137" s="3">
        <v>9.0</v>
      </c>
      <c r="G137" s="3">
        <v>5.0</v>
      </c>
      <c r="H137" s="3">
        <v>1.0</v>
      </c>
      <c r="I137" s="11">
        <f t="shared" si="1"/>
        <v>18</v>
      </c>
      <c r="J137" s="3">
        <v>120.0</v>
      </c>
    </row>
    <row r="138" ht="15.75" customHeight="1">
      <c r="A138" s="3">
        <v>137.0</v>
      </c>
      <c r="B138" s="10" t="s">
        <v>71</v>
      </c>
      <c r="C138" s="10" t="s">
        <v>13</v>
      </c>
      <c r="D138" s="10" t="s">
        <v>14</v>
      </c>
      <c r="E138" s="3">
        <v>6.0</v>
      </c>
      <c r="F138" s="3">
        <v>3.0</v>
      </c>
      <c r="G138" s="3">
        <v>3.0</v>
      </c>
      <c r="H138" s="3">
        <v>-1.0</v>
      </c>
      <c r="I138" s="11">
        <f t="shared" si="1"/>
        <v>9</v>
      </c>
      <c r="J138" s="3">
        <v>60.0</v>
      </c>
      <c r="K138" s="33" t="s">
        <v>176</v>
      </c>
    </row>
    <row r="139" ht="15.75" customHeight="1">
      <c r="A139" s="3">
        <v>138.0</v>
      </c>
      <c r="B139" s="10" t="s">
        <v>134</v>
      </c>
      <c r="C139" s="10" t="s">
        <v>13</v>
      </c>
      <c r="D139" s="10" t="s">
        <v>14</v>
      </c>
      <c r="E139" s="3">
        <v>6.0</v>
      </c>
      <c r="F139" s="3">
        <v>6.0</v>
      </c>
      <c r="G139" s="3">
        <v>5.0</v>
      </c>
      <c r="H139" s="3">
        <v>-1.0</v>
      </c>
      <c r="I139" s="11">
        <f t="shared" si="1"/>
        <v>12</v>
      </c>
      <c r="J139" s="3">
        <v>60.0</v>
      </c>
    </row>
    <row r="140" ht="15.75" customHeight="1">
      <c r="A140" s="3">
        <v>139.0</v>
      </c>
      <c r="B140" s="10" t="s">
        <v>135</v>
      </c>
      <c r="C140" s="10" t="s">
        <v>13</v>
      </c>
      <c r="D140" s="10" t="s">
        <v>14</v>
      </c>
      <c r="E140" s="3">
        <v>5.0</v>
      </c>
      <c r="F140" s="3">
        <v>4.0</v>
      </c>
      <c r="G140" s="3">
        <v>5.0</v>
      </c>
      <c r="H140" s="3">
        <v>-1.0</v>
      </c>
      <c r="I140" s="11">
        <f t="shared" si="1"/>
        <v>9</v>
      </c>
      <c r="J140" s="3">
        <v>50.0</v>
      </c>
      <c r="K140" s="33" t="s">
        <v>178</v>
      </c>
    </row>
    <row r="141" ht="15.75" customHeight="1">
      <c r="A141" s="3">
        <v>140.0</v>
      </c>
      <c r="B141" s="10" t="s">
        <v>168</v>
      </c>
      <c r="C141" s="10" t="s">
        <v>11</v>
      </c>
      <c r="D141" s="10" t="s">
        <v>14</v>
      </c>
      <c r="E141" s="3">
        <v>7.0</v>
      </c>
      <c r="F141" s="3">
        <v>7.0</v>
      </c>
      <c r="G141" s="3">
        <v>7.0</v>
      </c>
      <c r="H141" s="3">
        <v>1.0</v>
      </c>
      <c r="I141" s="11">
        <f t="shared" si="1"/>
        <v>14</v>
      </c>
      <c r="J141" s="3">
        <v>80.0</v>
      </c>
      <c r="K141" s="33">
        <v>10.0</v>
      </c>
      <c r="L141" s="33">
        <v>95.0</v>
      </c>
    </row>
    <row r="142" ht="15.75" customHeight="1">
      <c r="A142" s="3">
        <v>141.0</v>
      </c>
      <c r="B142" s="10" t="s">
        <v>20</v>
      </c>
      <c r="C142" s="10" t="s">
        <v>11</v>
      </c>
      <c r="D142" s="10" t="s">
        <v>14</v>
      </c>
      <c r="E142" s="3">
        <v>10.0</v>
      </c>
      <c r="F142" s="3">
        <v>9.0</v>
      </c>
      <c r="G142" s="3">
        <v>1.0</v>
      </c>
      <c r="H142" s="3">
        <v>1.0</v>
      </c>
      <c r="I142" s="11">
        <f t="shared" si="1"/>
        <v>19</v>
      </c>
      <c r="J142" s="3">
        <v>120.0</v>
      </c>
      <c r="K142" s="33">
        <v>12.0</v>
      </c>
      <c r="L142" s="33">
        <v>210.0</v>
      </c>
    </row>
    <row r="143" ht="15.75" customHeight="1">
      <c r="A143" s="3">
        <v>142.0</v>
      </c>
      <c r="B143" s="10" t="s">
        <v>136</v>
      </c>
      <c r="C143" s="10" t="s">
        <v>11</v>
      </c>
      <c r="D143" s="10" t="s">
        <v>14</v>
      </c>
      <c r="E143" s="3">
        <v>7.0</v>
      </c>
      <c r="F143" s="3">
        <v>7.0</v>
      </c>
      <c r="G143" s="3">
        <v>5.0</v>
      </c>
      <c r="H143" s="3">
        <v>-1.0</v>
      </c>
      <c r="I143" s="11">
        <f t="shared" si="1"/>
        <v>14</v>
      </c>
      <c r="J143" s="3">
        <v>80.0</v>
      </c>
      <c r="K143" s="33" t="s">
        <v>178</v>
      </c>
    </row>
    <row r="144" ht="15.75" customHeight="1">
      <c r="A144" s="3">
        <v>143.0</v>
      </c>
      <c r="B144" s="37" t="s">
        <v>112</v>
      </c>
      <c r="C144" s="15" t="s">
        <v>11</v>
      </c>
      <c r="D144" s="15" t="s">
        <v>11</v>
      </c>
      <c r="E144" s="15">
        <v>7.0</v>
      </c>
      <c r="F144" s="15">
        <v>7.0</v>
      </c>
      <c r="G144" s="15">
        <v>5.0</v>
      </c>
      <c r="H144" s="15">
        <v>1.0</v>
      </c>
      <c r="I144" s="11">
        <f t="shared" si="1"/>
        <v>14</v>
      </c>
      <c r="J144" s="15">
        <v>80.0</v>
      </c>
      <c r="K144" s="33" t="s">
        <v>182</v>
      </c>
    </row>
    <row r="145" ht="15.75" customHeight="1">
      <c r="A145" s="3">
        <v>144.0</v>
      </c>
      <c r="B145" s="10" t="s">
        <v>158</v>
      </c>
      <c r="C145" s="10" t="s">
        <v>11</v>
      </c>
      <c r="D145" s="10" t="s">
        <v>14</v>
      </c>
      <c r="E145" s="3">
        <v>6.0</v>
      </c>
      <c r="F145" s="3">
        <v>5.0</v>
      </c>
      <c r="G145" s="3">
        <v>6.0</v>
      </c>
      <c r="H145" s="3">
        <v>1.0</v>
      </c>
      <c r="I145" s="11">
        <f t="shared" si="1"/>
        <v>11</v>
      </c>
      <c r="J145" s="3">
        <v>60.0</v>
      </c>
    </row>
    <row r="146" ht="15.75" customHeight="1">
      <c r="A146" s="3">
        <v>145.0</v>
      </c>
      <c r="B146" s="10" t="s">
        <v>159</v>
      </c>
      <c r="C146" s="10" t="s">
        <v>11</v>
      </c>
      <c r="D146" s="10" t="s">
        <v>14</v>
      </c>
      <c r="E146" s="3">
        <v>6.0</v>
      </c>
      <c r="F146" s="3">
        <v>5.0</v>
      </c>
      <c r="G146" s="3">
        <v>6.0</v>
      </c>
      <c r="H146" s="3">
        <v>1.0</v>
      </c>
      <c r="I146" s="11">
        <f t="shared" si="1"/>
        <v>11</v>
      </c>
      <c r="J146" s="3">
        <v>60.0</v>
      </c>
    </row>
    <row r="147" ht="15.75" customHeight="1">
      <c r="A147" s="3">
        <v>146.0</v>
      </c>
      <c r="B147" s="10" t="s">
        <v>137</v>
      </c>
      <c r="C147" s="10" t="s">
        <v>11</v>
      </c>
      <c r="D147" s="10" t="s">
        <v>14</v>
      </c>
      <c r="E147" s="3">
        <v>7.0</v>
      </c>
      <c r="F147" s="3">
        <v>8.0</v>
      </c>
      <c r="G147" s="3">
        <v>5.0</v>
      </c>
      <c r="H147" s="3">
        <v>1.0</v>
      </c>
      <c r="I147" s="11">
        <f t="shared" si="1"/>
        <v>15</v>
      </c>
      <c r="J147" s="3">
        <v>100.0</v>
      </c>
      <c r="K147" s="33" t="s">
        <v>178</v>
      </c>
    </row>
    <row r="148" ht="15.75" customHeight="1">
      <c r="A148" s="3">
        <v>147.0</v>
      </c>
      <c r="B148" s="10" t="s">
        <v>160</v>
      </c>
      <c r="C148" s="10" t="s">
        <v>11</v>
      </c>
      <c r="D148" s="10" t="s">
        <v>14</v>
      </c>
      <c r="E148" s="3">
        <v>4.0</v>
      </c>
      <c r="F148" s="3">
        <v>6.0</v>
      </c>
      <c r="G148" s="3">
        <v>6.0</v>
      </c>
      <c r="H148" s="3">
        <v>-1.0</v>
      </c>
      <c r="I148" s="11">
        <f t="shared" si="1"/>
        <v>10</v>
      </c>
      <c r="J148" s="3">
        <v>60.0</v>
      </c>
      <c r="L148" s="34">
        <f>COUNTIF(#REF!, "&lt;10")</f>
        <v>0</v>
      </c>
    </row>
    <row r="149" ht="15.75" customHeight="1">
      <c r="A149" s="3">
        <v>148.0</v>
      </c>
      <c r="B149" s="10" t="s">
        <v>104</v>
      </c>
      <c r="C149" s="10" t="s">
        <v>11</v>
      </c>
      <c r="D149" s="10" t="s">
        <v>14</v>
      </c>
      <c r="E149" s="3">
        <v>5.0</v>
      </c>
      <c r="F149" s="3">
        <v>5.0</v>
      </c>
      <c r="G149" s="3">
        <v>4.0</v>
      </c>
      <c r="H149" s="3">
        <v>1.0</v>
      </c>
      <c r="I149" s="11">
        <f t="shared" si="1"/>
        <v>10</v>
      </c>
      <c r="J149" s="3">
        <v>60.0</v>
      </c>
    </row>
    <row r="150" ht="15.75" customHeight="1">
      <c r="A150" s="3">
        <v>149.0</v>
      </c>
      <c r="B150" s="10" t="s">
        <v>138</v>
      </c>
      <c r="C150" s="10" t="s">
        <v>11</v>
      </c>
      <c r="D150" s="10" t="s">
        <v>14</v>
      </c>
      <c r="E150" s="3">
        <v>10.0</v>
      </c>
      <c r="F150" s="3">
        <v>8.0</v>
      </c>
      <c r="G150" s="3">
        <v>5.0</v>
      </c>
      <c r="H150" s="3">
        <v>1.0</v>
      </c>
      <c r="I150" s="11">
        <f t="shared" si="1"/>
        <v>18</v>
      </c>
      <c r="J150" s="3">
        <v>100.0</v>
      </c>
    </row>
    <row r="151" ht="15.75" customHeight="1">
      <c r="A151" s="3">
        <v>150.0</v>
      </c>
      <c r="B151" s="10" t="s">
        <v>139</v>
      </c>
      <c r="C151" s="10" t="s">
        <v>11</v>
      </c>
      <c r="D151" s="10" t="s">
        <v>14</v>
      </c>
      <c r="E151" s="3">
        <v>7.0</v>
      </c>
      <c r="F151" s="3">
        <v>6.0</v>
      </c>
      <c r="G151" s="3">
        <v>5.0</v>
      </c>
      <c r="H151" s="3">
        <v>1.0</v>
      </c>
      <c r="I151" s="11">
        <f t="shared" si="1"/>
        <v>13</v>
      </c>
      <c r="J151" s="3">
        <v>80.0</v>
      </c>
    </row>
    <row r="152" ht="15.75" customHeight="1">
      <c r="A152" s="3">
        <v>151.0</v>
      </c>
      <c r="B152" s="10" t="s">
        <v>72</v>
      </c>
      <c r="C152" s="10" t="s">
        <v>11</v>
      </c>
      <c r="D152" s="10" t="s">
        <v>14</v>
      </c>
      <c r="E152" s="3">
        <v>9.0</v>
      </c>
      <c r="F152" s="3">
        <v>6.0</v>
      </c>
      <c r="G152" s="3">
        <v>3.0</v>
      </c>
      <c r="H152" s="3">
        <v>1.0</v>
      </c>
      <c r="I152" s="11">
        <f t="shared" si="1"/>
        <v>15</v>
      </c>
      <c r="J152" s="3">
        <v>80.0</v>
      </c>
    </row>
    <row r="153" ht="15.75" customHeight="1">
      <c r="A153" s="3">
        <v>152.0</v>
      </c>
      <c r="B153" s="10" t="s">
        <v>140</v>
      </c>
      <c r="C153" s="10" t="s">
        <v>11</v>
      </c>
      <c r="D153" s="10" t="s">
        <v>14</v>
      </c>
      <c r="E153" s="3">
        <v>6.0</v>
      </c>
      <c r="F153" s="3">
        <v>7.0</v>
      </c>
      <c r="G153" s="3">
        <v>5.0</v>
      </c>
      <c r="H153" s="3">
        <v>1.0</v>
      </c>
      <c r="I153" s="11">
        <f t="shared" si="1"/>
        <v>13</v>
      </c>
      <c r="J153" s="3">
        <v>60.0</v>
      </c>
    </row>
    <row r="154" ht="15.75" customHeight="1">
      <c r="A154" s="3">
        <v>153.0</v>
      </c>
      <c r="B154" s="10" t="s">
        <v>21</v>
      </c>
      <c r="C154" s="10" t="s">
        <v>11</v>
      </c>
      <c r="D154" s="10" t="s">
        <v>14</v>
      </c>
      <c r="E154" s="3">
        <v>10.0</v>
      </c>
      <c r="F154" s="3">
        <v>7.0</v>
      </c>
      <c r="G154" s="3">
        <v>1.0</v>
      </c>
      <c r="H154" s="3">
        <v>-1.0</v>
      </c>
      <c r="I154" s="11">
        <f t="shared" si="1"/>
        <v>17</v>
      </c>
      <c r="J154" s="3">
        <v>100.0</v>
      </c>
      <c r="K154" s="33" t="s">
        <v>176</v>
      </c>
    </row>
    <row r="155" ht="15.75" customHeight="1">
      <c r="A155" s="3">
        <v>154.0</v>
      </c>
      <c r="B155" s="10" t="s">
        <v>39</v>
      </c>
      <c r="C155" s="10" t="s">
        <v>13</v>
      </c>
      <c r="D155" s="10" t="s">
        <v>14</v>
      </c>
      <c r="E155" s="3">
        <v>8.0</v>
      </c>
      <c r="F155" s="3">
        <v>7.0</v>
      </c>
      <c r="G155" s="3">
        <v>2.0</v>
      </c>
      <c r="H155" s="3">
        <v>1.0</v>
      </c>
      <c r="I155" s="11">
        <f t="shared" si="1"/>
        <v>15</v>
      </c>
      <c r="J155" s="3">
        <v>80.0</v>
      </c>
      <c r="K155" s="33">
        <v>11.0</v>
      </c>
      <c r="L155" s="33">
        <v>160.0</v>
      </c>
    </row>
    <row r="156" ht="15.75" customHeight="1">
      <c r="A156" s="3">
        <v>155.0</v>
      </c>
      <c r="B156" s="10" t="s">
        <v>105</v>
      </c>
      <c r="C156" s="10" t="s">
        <v>11</v>
      </c>
      <c r="D156" s="10" t="s">
        <v>14</v>
      </c>
      <c r="E156" s="3">
        <v>8.0</v>
      </c>
      <c r="F156" s="3">
        <v>8.0</v>
      </c>
      <c r="G156" s="3">
        <v>4.0</v>
      </c>
      <c r="H156" s="3">
        <v>-1.0</v>
      </c>
      <c r="I156" s="11">
        <f t="shared" si="1"/>
        <v>16</v>
      </c>
      <c r="J156" s="3">
        <v>100.0</v>
      </c>
      <c r="K156" s="33">
        <v>20.0</v>
      </c>
      <c r="L156" s="33">
        <v>185.0</v>
      </c>
    </row>
    <row r="157" ht="15.75" customHeight="1">
      <c r="A157" s="3">
        <v>156.0</v>
      </c>
      <c r="B157" s="10" t="s">
        <v>73</v>
      </c>
      <c r="C157" s="10" t="s">
        <v>13</v>
      </c>
      <c r="D157" s="10" t="s">
        <v>14</v>
      </c>
      <c r="E157" s="3">
        <v>4.0</v>
      </c>
      <c r="F157" s="3">
        <v>4.0</v>
      </c>
      <c r="G157" s="3">
        <v>3.0</v>
      </c>
      <c r="H157" s="3">
        <v>1.0</v>
      </c>
      <c r="I157" s="11">
        <f t="shared" si="1"/>
        <v>8</v>
      </c>
      <c r="J157" s="3">
        <v>40.0</v>
      </c>
      <c r="K157" s="33">
        <v>1.0</v>
      </c>
      <c r="L157" s="33">
        <v>90.0</v>
      </c>
    </row>
    <row r="158" ht="15.75" customHeight="1">
      <c r="A158" s="3">
        <v>157.0</v>
      </c>
      <c r="B158" s="10" t="s">
        <v>74</v>
      </c>
      <c r="C158" s="10" t="s">
        <v>13</v>
      </c>
      <c r="D158" s="10" t="s">
        <v>14</v>
      </c>
      <c r="E158" s="3">
        <v>5.0</v>
      </c>
      <c r="F158" s="3">
        <v>5.0</v>
      </c>
      <c r="G158" s="3">
        <v>3.0</v>
      </c>
      <c r="H158" s="3">
        <v>1.0</v>
      </c>
      <c r="I158" s="11">
        <f t="shared" si="1"/>
        <v>10</v>
      </c>
      <c r="J158" s="3">
        <v>50.0</v>
      </c>
      <c r="K158" s="33">
        <v>15.0</v>
      </c>
    </row>
    <row r="159" ht="15.75" customHeight="1">
      <c r="A159" s="3">
        <v>158.0</v>
      </c>
      <c r="B159" s="10" t="s">
        <v>161</v>
      </c>
      <c r="C159" s="10" t="s">
        <v>11</v>
      </c>
      <c r="D159" s="10" t="s">
        <v>14</v>
      </c>
      <c r="E159" s="3">
        <v>3.0</v>
      </c>
      <c r="F159" s="3">
        <v>5.0</v>
      </c>
      <c r="G159" s="3">
        <v>6.0</v>
      </c>
      <c r="H159" s="3">
        <v>-1.0</v>
      </c>
      <c r="I159" s="11">
        <f t="shared" si="1"/>
        <v>8</v>
      </c>
      <c r="J159" s="3">
        <v>40.0</v>
      </c>
    </row>
    <row r="160" ht="15.75" customHeight="1">
      <c r="A160" s="3">
        <v>159.0</v>
      </c>
      <c r="B160" s="10" t="s">
        <v>40</v>
      </c>
      <c r="C160" s="10" t="s">
        <v>13</v>
      </c>
      <c r="D160" s="10" t="s">
        <v>14</v>
      </c>
      <c r="E160" s="3">
        <v>5.0</v>
      </c>
      <c r="F160" s="3">
        <v>6.0</v>
      </c>
      <c r="G160" s="3">
        <v>2.0</v>
      </c>
      <c r="H160" s="3">
        <v>1.0</v>
      </c>
      <c r="I160" s="11">
        <f t="shared" si="1"/>
        <v>11</v>
      </c>
      <c r="J160" s="3">
        <v>60.0</v>
      </c>
    </row>
    <row r="161" ht="15.75" customHeight="1">
      <c r="A161" s="3">
        <v>160.0</v>
      </c>
      <c r="B161" s="10" t="s">
        <v>141</v>
      </c>
      <c r="C161" s="10" t="s">
        <v>13</v>
      </c>
      <c r="D161" s="10" t="s">
        <v>14</v>
      </c>
      <c r="E161" s="3">
        <v>7.0</v>
      </c>
      <c r="F161" s="3">
        <v>7.0</v>
      </c>
      <c r="G161" s="3">
        <v>5.0</v>
      </c>
      <c r="H161" s="3">
        <v>1.0</v>
      </c>
      <c r="I161" s="11">
        <f t="shared" si="1"/>
        <v>14</v>
      </c>
      <c r="J161" s="3">
        <v>80.0</v>
      </c>
      <c r="K161" s="33">
        <v>1.0</v>
      </c>
      <c r="L161" s="33">
        <v>155.0</v>
      </c>
    </row>
    <row r="162" ht="15.75" customHeight="1">
      <c r="B162" s="23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>
      <c r="B172" s="24"/>
    </row>
    <row r="173" ht="15.75" customHeight="1"/>
    <row r="174" ht="15.75" customHeight="1">
      <c r="B174" s="23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3">
        <v>6.0</v>
      </c>
      <c r="B1" s="10" t="s">
        <v>143</v>
      </c>
      <c r="C1" s="10" t="s">
        <v>11</v>
      </c>
      <c r="D1" s="10" t="s">
        <v>14</v>
      </c>
      <c r="E1" s="3">
        <v>5.0</v>
      </c>
      <c r="F1" s="3">
        <v>6.0</v>
      </c>
      <c r="G1" s="3">
        <v>6.0</v>
      </c>
      <c r="H1" s="3">
        <v>1.0</v>
      </c>
      <c r="I1" s="11">
        <f t="shared" ref="I1:I74" si="1">sum(E1,F1)</f>
        <v>11</v>
      </c>
      <c r="J1" s="3">
        <v>60.0</v>
      </c>
      <c r="K1" s="33">
        <v>1.0</v>
      </c>
      <c r="L1" s="33">
        <v>90.0</v>
      </c>
    </row>
    <row r="2" ht="15.75" customHeight="1">
      <c r="A2" s="3">
        <v>12.0</v>
      </c>
      <c r="B2" s="10" t="s">
        <v>26</v>
      </c>
      <c r="C2" s="10" t="s">
        <v>13</v>
      </c>
      <c r="D2" s="10" t="s">
        <v>14</v>
      </c>
      <c r="E2" s="3">
        <v>8.0</v>
      </c>
      <c r="F2" s="3">
        <v>8.0</v>
      </c>
      <c r="G2" s="3">
        <v>2.0</v>
      </c>
      <c r="H2" s="3">
        <v>1.0</v>
      </c>
      <c r="I2" s="11">
        <f t="shared" si="1"/>
        <v>16</v>
      </c>
      <c r="J2" s="3">
        <v>100.0</v>
      </c>
      <c r="K2" s="33">
        <v>1.0</v>
      </c>
      <c r="L2" s="33">
        <v>175.0</v>
      </c>
    </row>
    <row r="3" ht="15.75" customHeight="1">
      <c r="A3" s="3">
        <v>19.0</v>
      </c>
      <c r="B3" s="10" t="s">
        <v>17</v>
      </c>
      <c r="C3" s="10" t="s">
        <v>13</v>
      </c>
      <c r="D3" s="10" t="s">
        <v>14</v>
      </c>
      <c r="E3" s="3">
        <v>5.0</v>
      </c>
      <c r="F3" s="3">
        <v>5.0</v>
      </c>
      <c r="G3" s="3">
        <v>1.0</v>
      </c>
      <c r="H3" s="3">
        <v>1.0</v>
      </c>
      <c r="I3" s="11">
        <f t="shared" si="1"/>
        <v>10</v>
      </c>
      <c r="J3" s="3">
        <v>60.0</v>
      </c>
      <c r="K3" s="33">
        <v>1.0</v>
      </c>
      <c r="L3" s="33">
        <v>130.0</v>
      </c>
    </row>
    <row r="4" ht="15.75" customHeight="1">
      <c r="A4" s="3">
        <v>31.0</v>
      </c>
      <c r="B4" s="20" t="s">
        <v>42</v>
      </c>
      <c r="C4" s="10" t="s">
        <v>11</v>
      </c>
      <c r="D4" s="10" t="s">
        <v>11</v>
      </c>
      <c r="E4" s="3">
        <v>7.0</v>
      </c>
      <c r="F4" s="3">
        <v>6.0</v>
      </c>
      <c r="G4" s="3">
        <v>3.0</v>
      </c>
      <c r="H4" s="3">
        <v>1.0</v>
      </c>
      <c r="I4" s="11">
        <f t="shared" si="1"/>
        <v>13</v>
      </c>
      <c r="J4" s="3">
        <v>80.0</v>
      </c>
      <c r="K4" s="33">
        <v>1.0</v>
      </c>
      <c r="L4" s="33">
        <v>145.0</v>
      </c>
    </row>
    <row r="5" ht="15.75" customHeight="1">
      <c r="A5" s="3">
        <v>98.0</v>
      </c>
      <c r="B5" s="10" t="s">
        <v>156</v>
      </c>
      <c r="C5" s="10" t="s">
        <v>11</v>
      </c>
      <c r="D5" s="10" t="s">
        <v>14</v>
      </c>
      <c r="E5" s="3">
        <v>6.0</v>
      </c>
      <c r="F5" s="3">
        <v>4.0</v>
      </c>
      <c r="G5" s="3">
        <v>6.0</v>
      </c>
      <c r="H5" s="3">
        <v>1.0</v>
      </c>
      <c r="I5" s="11">
        <f t="shared" si="1"/>
        <v>10</v>
      </c>
      <c r="J5" s="3">
        <v>60.0</v>
      </c>
      <c r="K5" s="33">
        <v>1.0</v>
      </c>
      <c r="L5" s="33">
        <v>80.0</v>
      </c>
    </row>
    <row r="6" ht="15.75" customHeight="1">
      <c r="A6" s="3">
        <v>156.0</v>
      </c>
      <c r="B6" s="10" t="s">
        <v>73</v>
      </c>
      <c r="C6" s="10" t="s">
        <v>13</v>
      </c>
      <c r="D6" s="10" t="s">
        <v>14</v>
      </c>
      <c r="E6" s="3">
        <v>4.0</v>
      </c>
      <c r="F6" s="3">
        <v>4.0</v>
      </c>
      <c r="G6" s="3">
        <v>3.0</v>
      </c>
      <c r="H6" s="3">
        <v>1.0</v>
      </c>
      <c r="I6" s="11">
        <f t="shared" si="1"/>
        <v>8</v>
      </c>
      <c r="J6" s="3">
        <v>40.0</v>
      </c>
      <c r="K6" s="33">
        <v>1.0</v>
      </c>
      <c r="L6" s="33">
        <v>90.0</v>
      </c>
    </row>
    <row r="7" ht="15.75" customHeight="1">
      <c r="A7" s="3">
        <v>160.0</v>
      </c>
      <c r="B7" s="10" t="s">
        <v>141</v>
      </c>
      <c r="C7" s="10" t="s">
        <v>13</v>
      </c>
      <c r="D7" s="10" t="s">
        <v>14</v>
      </c>
      <c r="E7" s="3">
        <v>7.0</v>
      </c>
      <c r="F7" s="3">
        <v>7.0</v>
      </c>
      <c r="G7" s="3">
        <v>5.0</v>
      </c>
      <c r="H7" s="3">
        <v>1.0</v>
      </c>
      <c r="I7" s="11">
        <f t="shared" si="1"/>
        <v>14</v>
      </c>
      <c r="J7" s="3">
        <v>80.0</v>
      </c>
      <c r="K7" s="33">
        <v>1.0</v>
      </c>
      <c r="L7" s="33">
        <v>155.0</v>
      </c>
    </row>
    <row r="8" ht="15.75" customHeight="1">
      <c r="A8" s="3">
        <v>77.0</v>
      </c>
      <c r="B8" s="10" t="s">
        <v>23</v>
      </c>
      <c r="C8" s="10" t="s">
        <v>13</v>
      </c>
      <c r="D8" s="10" t="s">
        <v>11</v>
      </c>
      <c r="E8" s="3">
        <v>5.0</v>
      </c>
      <c r="F8" s="3">
        <v>5.0</v>
      </c>
      <c r="G8" s="3">
        <v>2.0</v>
      </c>
      <c r="H8" s="3">
        <v>1.0</v>
      </c>
      <c r="I8" s="11">
        <f t="shared" si="1"/>
        <v>10</v>
      </c>
      <c r="J8" s="3">
        <v>60.0</v>
      </c>
      <c r="K8" s="33">
        <v>2.0</v>
      </c>
      <c r="L8" s="33">
        <v>100.0</v>
      </c>
    </row>
    <row r="9" ht="15.75" customHeight="1">
      <c r="A9" s="3">
        <v>81.0</v>
      </c>
      <c r="B9" s="10" t="s">
        <v>18</v>
      </c>
      <c r="C9" s="10" t="s">
        <v>11</v>
      </c>
      <c r="D9" s="10" t="s">
        <v>14</v>
      </c>
      <c r="E9" s="3">
        <v>6.0</v>
      </c>
      <c r="F9" s="3">
        <v>6.0</v>
      </c>
      <c r="G9" s="3">
        <v>1.0</v>
      </c>
      <c r="H9" s="3">
        <v>-1.0</v>
      </c>
      <c r="I9" s="11">
        <f t="shared" si="1"/>
        <v>12</v>
      </c>
      <c r="J9" s="3">
        <v>60.0</v>
      </c>
      <c r="K9" s="33">
        <v>2.0</v>
      </c>
      <c r="L9" s="33">
        <v>130.0</v>
      </c>
    </row>
    <row r="10" ht="15.75" customHeight="1">
      <c r="A10" s="3">
        <v>95.0</v>
      </c>
      <c r="B10" s="10" t="s">
        <v>109</v>
      </c>
      <c r="C10" s="10" t="s">
        <v>11</v>
      </c>
      <c r="D10" s="10" t="s">
        <v>11</v>
      </c>
      <c r="E10" s="3">
        <v>6.0</v>
      </c>
      <c r="F10" s="3">
        <v>6.0</v>
      </c>
      <c r="G10" s="3">
        <v>5.0</v>
      </c>
      <c r="H10" s="3">
        <v>-1.0</v>
      </c>
      <c r="I10" s="11">
        <f t="shared" si="1"/>
        <v>12</v>
      </c>
      <c r="J10" s="3">
        <v>60.0</v>
      </c>
      <c r="K10" s="33">
        <v>3.0</v>
      </c>
      <c r="L10" s="33">
        <v>120.0</v>
      </c>
    </row>
    <row r="11" ht="15.75" customHeight="1">
      <c r="A11" s="3">
        <v>63.0</v>
      </c>
      <c r="B11" s="10" t="s">
        <v>33</v>
      </c>
      <c r="C11" s="10" t="s">
        <v>11</v>
      </c>
      <c r="D11" s="10" t="s">
        <v>14</v>
      </c>
      <c r="E11" s="3">
        <v>6.0</v>
      </c>
      <c r="F11" s="3">
        <v>6.0</v>
      </c>
      <c r="G11" s="3">
        <v>2.0</v>
      </c>
      <c r="H11" s="3">
        <v>1.0</v>
      </c>
      <c r="I11" s="11">
        <f t="shared" si="1"/>
        <v>12</v>
      </c>
      <c r="J11" s="3">
        <v>80.0</v>
      </c>
      <c r="K11" s="33">
        <v>5.0</v>
      </c>
      <c r="L11" s="33">
        <v>115.0</v>
      </c>
    </row>
    <row r="12" ht="15.75" customHeight="1">
      <c r="A12" s="3">
        <v>65.0</v>
      </c>
      <c r="B12" s="10" t="s">
        <v>58</v>
      </c>
      <c r="C12" s="10" t="s">
        <v>11</v>
      </c>
      <c r="D12" s="10" t="s">
        <v>14</v>
      </c>
      <c r="E12" s="3">
        <v>5.0</v>
      </c>
      <c r="F12" s="3">
        <v>5.0</v>
      </c>
      <c r="G12" s="3">
        <v>3.0</v>
      </c>
      <c r="H12" s="3">
        <v>-1.0</v>
      </c>
      <c r="I12" s="11">
        <f t="shared" si="1"/>
        <v>10</v>
      </c>
      <c r="J12" s="3">
        <v>60.0</v>
      </c>
      <c r="K12" s="33">
        <v>5.0</v>
      </c>
      <c r="L12" s="33">
        <v>90.0</v>
      </c>
    </row>
    <row r="13" ht="15.75" customHeight="1">
      <c r="A13" s="3">
        <v>135.0</v>
      </c>
      <c r="B13" s="10" t="s">
        <v>103</v>
      </c>
      <c r="C13" s="10" t="s">
        <v>13</v>
      </c>
      <c r="D13" s="10" t="s">
        <v>14</v>
      </c>
      <c r="E13" s="3">
        <v>5.0</v>
      </c>
      <c r="F13" s="3">
        <v>4.0</v>
      </c>
      <c r="G13" s="3">
        <v>4.0</v>
      </c>
      <c r="H13" s="3">
        <v>1.0</v>
      </c>
      <c r="I13" s="11">
        <f t="shared" si="1"/>
        <v>9</v>
      </c>
      <c r="J13" s="3">
        <v>40.0</v>
      </c>
      <c r="K13" s="33">
        <v>5.0</v>
      </c>
      <c r="L13" s="33">
        <v>75.0</v>
      </c>
    </row>
    <row r="14" ht="15.75" customHeight="1">
      <c r="A14" s="3">
        <v>26.0</v>
      </c>
      <c r="B14" s="10" t="s">
        <v>49</v>
      </c>
      <c r="C14" s="10" t="s">
        <v>13</v>
      </c>
      <c r="D14" s="10" t="s">
        <v>14</v>
      </c>
      <c r="E14" s="3">
        <v>5.0</v>
      </c>
      <c r="F14" s="3">
        <v>6.0</v>
      </c>
      <c r="G14" s="3">
        <v>3.0</v>
      </c>
      <c r="H14" s="3">
        <v>-1.0</v>
      </c>
      <c r="I14" s="11">
        <f t="shared" si="1"/>
        <v>11</v>
      </c>
      <c r="J14" s="3">
        <v>60.0</v>
      </c>
      <c r="K14" s="33">
        <v>9.0</v>
      </c>
      <c r="L14" s="33">
        <v>100.0</v>
      </c>
      <c r="M14" s="34">
        <f>L14/I14</f>
        <v>9.090909091</v>
      </c>
    </row>
    <row r="15" ht="15.75" customHeight="1">
      <c r="A15" s="13">
        <v>30.0</v>
      </c>
      <c r="B15" s="12" t="s">
        <v>117</v>
      </c>
      <c r="C15" s="12" t="s">
        <v>13</v>
      </c>
      <c r="D15" s="12" t="s">
        <v>14</v>
      </c>
      <c r="E15" s="13">
        <v>9.0</v>
      </c>
      <c r="F15" s="13">
        <v>8.0</v>
      </c>
      <c r="G15" s="13">
        <v>5.0</v>
      </c>
      <c r="H15" s="13">
        <v>1.0</v>
      </c>
      <c r="I15" s="14">
        <f t="shared" si="1"/>
        <v>17</v>
      </c>
      <c r="J15" s="13">
        <v>120.0</v>
      </c>
      <c r="K15" s="35">
        <v>9.0</v>
      </c>
      <c r="L15" s="35">
        <v>185.0</v>
      </c>
      <c r="M15" s="35">
        <f>185/17</f>
        <v>10.88235294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ht="15.75" customHeight="1">
      <c r="A16" s="3">
        <v>51.0</v>
      </c>
      <c r="B16" s="10" t="s">
        <v>30</v>
      </c>
      <c r="C16" s="10" t="s">
        <v>13</v>
      </c>
      <c r="D16" s="10" t="s">
        <v>14</v>
      </c>
      <c r="E16" s="3">
        <v>8.0</v>
      </c>
      <c r="F16" s="3">
        <v>8.0</v>
      </c>
      <c r="G16" s="3">
        <v>2.0</v>
      </c>
      <c r="H16" s="3">
        <v>1.0</v>
      </c>
      <c r="I16" s="11">
        <f t="shared" si="1"/>
        <v>16</v>
      </c>
      <c r="J16" s="3">
        <v>100.0</v>
      </c>
      <c r="K16" s="33">
        <v>9.0</v>
      </c>
      <c r="L16" s="33">
        <v>140.0</v>
      </c>
      <c r="M16" s="34">
        <f>L16/I16</f>
        <v>8.75</v>
      </c>
    </row>
    <row r="17" ht="15.75" customHeight="1">
      <c r="A17" s="3">
        <v>72.0</v>
      </c>
      <c r="B17" s="10" t="s">
        <v>89</v>
      </c>
      <c r="C17" s="10" t="s">
        <v>11</v>
      </c>
      <c r="D17" s="10" t="s">
        <v>14</v>
      </c>
      <c r="E17" s="3">
        <v>8.0</v>
      </c>
      <c r="F17" s="3">
        <v>7.0</v>
      </c>
      <c r="G17" s="3">
        <v>4.0</v>
      </c>
      <c r="H17" s="3">
        <v>1.0</v>
      </c>
      <c r="I17" s="11">
        <f t="shared" si="1"/>
        <v>15</v>
      </c>
      <c r="J17" s="3">
        <v>100.0</v>
      </c>
      <c r="K17" s="33">
        <v>9.0</v>
      </c>
      <c r="L17" s="33">
        <v>120.0</v>
      </c>
    </row>
    <row r="18" ht="15.75" customHeight="1">
      <c r="A18" s="3">
        <v>38.0</v>
      </c>
      <c r="B18" s="10" t="s">
        <v>84</v>
      </c>
      <c r="C18" s="10" t="s">
        <v>11</v>
      </c>
      <c r="D18" s="10" t="s">
        <v>14</v>
      </c>
      <c r="E18" s="3">
        <v>8.0</v>
      </c>
      <c r="F18" s="3">
        <v>8.0</v>
      </c>
      <c r="G18" s="3">
        <v>4.0</v>
      </c>
      <c r="H18" s="3">
        <v>-1.0</v>
      </c>
      <c r="I18" s="11">
        <f t="shared" si="1"/>
        <v>16</v>
      </c>
      <c r="J18" s="3">
        <v>100.0</v>
      </c>
      <c r="K18" s="33">
        <v>10.0</v>
      </c>
      <c r="L18" s="33">
        <v>180.0</v>
      </c>
    </row>
    <row r="19" ht="15.75" customHeight="1">
      <c r="A19" s="3">
        <v>119.0</v>
      </c>
      <c r="B19" s="10" t="s">
        <v>38</v>
      </c>
      <c r="C19" s="10" t="s">
        <v>13</v>
      </c>
      <c r="D19" s="10" t="s">
        <v>14</v>
      </c>
      <c r="E19" s="3">
        <v>10.0</v>
      </c>
      <c r="F19" s="3">
        <v>10.0</v>
      </c>
      <c r="G19" s="3">
        <v>2.0</v>
      </c>
      <c r="H19" s="3">
        <v>-1.0</v>
      </c>
      <c r="I19" s="11">
        <f t="shared" si="1"/>
        <v>20</v>
      </c>
      <c r="J19" s="3">
        <v>120.0</v>
      </c>
      <c r="K19" s="33">
        <v>10.0</v>
      </c>
      <c r="L19" s="33">
        <v>195.0</v>
      </c>
    </row>
    <row r="20" ht="15.75" customHeight="1">
      <c r="A20" s="3">
        <v>130.0</v>
      </c>
      <c r="B20" s="10" t="s">
        <v>70</v>
      </c>
      <c r="C20" s="10" t="s">
        <v>13</v>
      </c>
      <c r="D20" s="10" t="s">
        <v>14</v>
      </c>
      <c r="E20" s="3">
        <v>6.0</v>
      </c>
      <c r="F20" s="3">
        <v>6.0</v>
      </c>
      <c r="G20" s="3">
        <v>3.0</v>
      </c>
      <c r="H20" s="3">
        <v>1.0</v>
      </c>
      <c r="I20" s="11">
        <f t="shared" si="1"/>
        <v>12</v>
      </c>
      <c r="J20" s="3">
        <v>60.0</v>
      </c>
      <c r="K20" s="33">
        <v>10.0</v>
      </c>
      <c r="L20" s="33">
        <v>130.0</v>
      </c>
    </row>
    <row r="21" ht="15.75" customHeight="1">
      <c r="A21" s="3">
        <v>140.0</v>
      </c>
      <c r="B21" s="10" t="s">
        <v>168</v>
      </c>
      <c r="C21" s="10" t="s">
        <v>11</v>
      </c>
      <c r="D21" s="10" t="s">
        <v>14</v>
      </c>
      <c r="E21" s="3">
        <v>7.0</v>
      </c>
      <c r="F21" s="3">
        <v>7.0</v>
      </c>
      <c r="G21" s="3">
        <v>7.0</v>
      </c>
      <c r="H21" s="3">
        <v>1.0</v>
      </c>
      <c r="I21" s="11">
        <f t="shared" si="1"/>
        <v>14</v>
      </c>
      <c r="J21" s="3">
        <v>80.0</v>
      </c>
      <c r="K21" s="33">
        <v>10.0</v>
      </c>
      <c r="L21" s="33">
        <v>95.0</v>
      </c>
    </row>
    <row r="22" ht="15.75" customHeight="1">
      <c r="A22" s="3">
        <v>127.0</v>
      </c>
      <c r="B22" s="10" t="s">
        <v>45</v>
      </c>
      <c r="C22" s="10" t="s">
        <v>13</v>
      </c>
      <c r="D22" s="10" t="s">
        <v>11</v>
      </c>
      <c r="E22" s="3">
        <v>6.0</v>
      </c>
      <c r="F22" s="3">
        <v>6.0</v>
      </c>
      <c r="G22" s="3">
        <v>3.0</v>
      </c>
      <c r="H22" s="3">
        <v>-1.0</v>
      </c>
      <c r="I22" s="11">
        <f t="shared" si="1"/>
        <v>12</v>
      </c>
      <c r="J22" s="3">
        <v>60.0</v>
      </c>
      <c r="K22" s="33">
        <v>11.0</v>
      </c>
      <c r="L22" s="33">
        <v>150.0</v>
      </c>
    </row>
    <row r="23" ht="15.75" customHeight="1">
      <c r="A23" s="3">
        <v>154.0</v>
      </c>
      <c r="B23" s="10" t="s">
        <v>39</v>
      </c>
      <c r="C23" s="10" t="s">
        <v>13</v>
      </c>
      <c r="D23" s="10" t="s">
        <v>14</v>
      </c>
      <c r="E23" s="3">
        <v>8.0</v>
      </c>
      <c r="F23" s="3">
        <v>7.0</v>
      </c>
      <c r="G23" s="3">
        <v>2.0</v>
      </c>
      <c r="H23" s="3">
        <v>1.0</v>
      </c>
      <c r="I23" s="11">
        <f t="shared" si="1"/>
        <v>15</v>
      </c>
      <c r="J23" s="3">
        <v>80.0</v>
      </c>
      <c r="K23" s="33">
        <v>11.0</v>
      </c>
      <c r="L23" s="33">
        <v>160.0</v>
      </c>
    </row>
    <row r="24" ht="15.75" customHeight="1">
      <c r="A24" s="3">
        <v>16.0</v>
      </c>
      <c r="B24" s="10" t="s">
        <v>144</v>
      </c>
      <c r="C24" s="10" t="s">
        <v>11</v>
      </c>
      <c r="D24" s="10" t="s">
        <v>14</v>
      </c>
      <c r="E24" s="3">
        <v>7.0</v>
      </c>
      <c r="F24" s="3">
        <v>7.0</v>
      </c>
      <c r="G24" s="3">
        <v>6.0</v>
      </c>
      <c r="H24" s="3">
        <v>-1.0</v>
      </c>
      <c r="I24" s="11">
        <f t="shared" si="1"/>
        <v>14</v>
      </c>
      <c r="J24" s="3">
        <v>80.0</v>
      </c>
      <c r="K24" s="33">
        <v>12.0</v>
      </c>
      <c r="L24" s="33">
        <v>120.0</v>
      </c>
    </row>
    <row r="25" ht="15.75" customHeight="1">
      <c r="A25" s="3">
        <v>17.0</v>
      </c>
      <c r="B25" s="10" t="s">
        <v>106</v>
      </c>
      <c r="C25" s="10" t="s">
        <v>13</v>
      </c>
      <c r="D25" s="10" t="s">
        <v>11</v>
      </c>
      <c r="E25" s="3">
        <v>5.0</v>
      </c>
      <c r="F25" s="3">
        <v>6.0</v>
      </c>
      <c r="G25" s="3">
        <v>5.0</v>
      </c>
      <c r="H25" s="3">
        <v>-1.0</v>
      </c>
      <c r="I25" s="11">
        <f t="shared" si="1"/>
        <v>11</v>
      </c>
      <c r="J25" s="3">
        <v>60.0</v>
      </c>
      <c r="K25" s="33">
        <v>12.0</v>
      </c>
      <c r="L25" s="33">
        <v>120.0</v>
      </c>
    </row>
    <row r="26" ht="15.75" customHeight="1">
      <c r="A26" s="3">
        <v>108.0</v>
      </c>
      <c r="B26" s="10" t="s">
        <v>64</v>
      </c>
      <c r="C26" s="10" t="s">
        <v>13</v>
      </c>
      <c r="D26" s="10" t="s">
        <v>14</v>
      </c>
      <c r="E26" s="3">
        <v>6.0</v>
      </c>
      <c r="F26" s="3">
        <v>7.0</v>
      </c>
      <c r="G26" s="3">
        <v>3.0</v>
      </c>
      <c r="H26" s="3">
        <v>1.0</v>
      </c>
      <c r="I26" s="11">
        <f t="shared" si="1"/>
        <v>13</v>
      </c>
      <c r="J26" s="3">
        <v>80.0</v>
      </c>
      <c r="K26" s="33">
        <v>12.0</v>
      </c>
      <c r="L26" s="33">
        <v>135.0</v>
      </c>
    </row>
    <row r="27" ht="15.75" customHeight="1">
      <c r="A27" s="3">
        <v>116.0</v>
      </c>
      <c r="B27" s="10" t="s">
        <v>66</v>
      </c>
      <c r="C27" s="10" t="s">
        <v>11</v>
      </c>
      <c r="D27" s="10" t="s">
        <v>14</v>
      </c>
      <c r="E27" s="3">
        <v>6.0</v>
      </c>
      <c r="F27" s="3">
        <v>5.0</v>
      </c>
      <c r="G27" s="3">
        <v>3.0</v>
      </c>
      <c r="H27" s="3">
        <v>-1.0</v>
      </c>
      <c r="I27" s="11">
        <f t="shared" si="1"/>
        <v>11</v>
      </c>
      <c r="J27" s="3">
        <v>60.0</v>
      </c>
      <c r="K27" s="33">
        <v>12.0</v>
      </c>
      <c r="L27" s="33">
        <v>105.0</v>
      </c>
    </row>
    <row r="28" ht="15.75" customHeight="1">
      <c r="A28" s="3">
        <v>118.0</v>
      </c>
      <c r="B28" s="10" t="s">
        <v>129</v>
      </c>
      <c r="C28" s="10" t="s">
        <v>11</v>
      </c>
      <c r="D28" s="10" t="s">
        <v>14</v>
      </c>
      <c r="E28" s="3">
        <v>5.0</v>
      </c>
      <c r="F28" s="3">
        <v>5.0</v>
      </c>
      <c r="G28" s="3">
        <v>5.0</v>
      </c>
      <c r="H28" s="3">
        <v>1.0</v>
      </c>
      <c r="I28" s="11">
        <f t="shared" si="1"/>
        <v>10</v>
      </c>
      <c r="J28" s="3">
        <v>60.0</v>
      </c>
      <c r="K28" s="33">
        <v>12.0</v>
      </c>
      <c r="L28" s="33">
        <v>60.0</v>
      </c>
    </row>
    <row r="29" ht="15.75" customHeight="1">
      <c r="A29" s="3">
        <v>141.0</v>
      </c>
      <c r="B29" s="10" t="s">
        <v>20</v>
      </c>
      <c r="C29" s="10" t="s">
        <v>11</v>
      </c>
      <c r="D29" s="10" t="s">
        <v>14</v>
      </c>
      <c r="E29" s="3">
        <v>10.0</v>
      </c>
      <c r="F29" s="3">
        <v>9.0</v>
      </c>
      <c r="G29" s="3">
        <v>1.0</v>
      </c>
      <c r="H29" s="3">
        <v>1.0</v>
      </c>
      <c r="I29" s="11">
        <f t="shared" si="1"/>
        <v>19</v>
      </c>
      <c r="J29" s="3">
        <v>120.0</v>
      </c>
      <c r="K29" s="33">
        <v>12.0</v>
      </c>
      <c r="L29" s="33">
        <v>210.0</v>
      </c>
    </row>
    <row r="30" ht="15.75" customHeight="1">
      <c r="A30" s="3">
        <v>23.0</v>
      </c>
      <c r="B30" s="10" t="s">
        <v>22</v>
      </c>
      <c r="C30" s="10" t="s">
        <v>11</v>
      </c>
      <c r="D30" s="10" t="s">
        <v>11</v>
      </c>
      <c r="E30" s="3">
        <v>5.0</v>
      </c>
      <c r="F30" s="3">
        <v>5.0</v>
      </c>
      <c r="G30" s="3">
        <v>2.0</v>
      </c>
      <c r="H30" s="3">
        <v>-1.0</v>
      </c>
      <c r="I30" s="11">
        <f t="shared" si="1"/>
        <v>10</v>
      </c>
      <c r="J30" s="3">
        <v>60.0</v>
      </c>
      <c r="K30" s="33">
        <v>13.0</v>
      </c>
      <c r="L30" s="33">
        <v>60.0</v>
      </c>
    </row>
    <row r="31" ht="15.75" customHeight="1">
      <c r="A31" s="3">
        <v>45.0</v>
      </c>
      <c r="B31" s="10" t="s">
        <v>55</v>
      </c>
      <c r="C31" s="10" t="s">
        <v>11</v>
      </c>
      <c r="D31" s="10" t="s">
        <v>14</v>
      </c>
      <c r="E31" s="3">
        <v>8.0</v>
      </c>
      <c r="F31" s="3">
        <v>7.0</v>
      </c>
      <c r="G31" s="3">
        <v>3.0</v>
      </c>
      <c r="H31" s="3">
        <v>1.0</v>
      </c>
      <c r="I31" s="11">
        <f t="shared" si="1"/>
        <v>15</v>
      </c>
      <c r="J31" s="3">
        <v>80.0</v>
      </c>
      <c r="K31" s="33">
        <v>13.0</v>
      </c>
      <c r="L31" s="33">
        <v>165.0</v>
      </c>
    </row>
    <row r="32" ht="15.75" customHeight="1">
      <c r="A32" s="3">
        <v>64.0</v>
      </c>
      <c r="B32" s="10" t="s">
        <v>34</v>
      </c>
      <c r="C32" s="10" t="s">
        <v>13</v>
      </c>
      <c r="D32" s="10" t="s">
        <v>14</v>
      </c>
      <c r="E32" s="3">
        <v>8.0</v>
      </c>
      <c r="F32" s="3">
        <v>7.0</v>
      </c>
      <c r="G32" s="3">
        <v>2.0</v>
      </c>
      <c r="H32" s="3">
        <v>1.0</v>
      </c>
      <c r="I32" s="11">
        <f t="shared" si="1"/>
        <v>15</v>
      </c>
      <c r="J32" s="3">
        <v>80.0</v>
      </c>
      <c r="K32" s="33">
        <v>13.0</v>
      </c>
      <c r="L32" s="33">
        <v>175.0</v>
      </c>
    </row>
    <row r="33" ht="15.75" customHeight="1">
      <c r="A33" s="3">
        <v>47.0</v>
      </c>
      <c r="B33" s="15" t="s">
        <v>43</v>
      </c>
      <c r="C33" s="15" t="s">
        <v>11</v>
      </c>
      <c r="D33" s="15" t="s">
        <v>11</v>
      </c>
      <c r="E33" s="15">
        <v>6.0</v>
      </c>
      <c r="F33" s="15">
        <v>6.0</v>
      </c>
      <c r="G33" s="15">
        <v>3.0</v>
      </c>
      <c r="H33" s="15">
        <v>-1.0</v>
      </c>
      <c r="I33" s="11">
        <f t="shared" si="1"/>
        <v>12</v>
      </c>
      <c r="J33" s="15">
        <v>60.0</v>
      </c>
      <c r="K33" s="33">
        <v>14.0</v>
      </c>
      <c r="L33" s="33">
        <v>95.0</v>
      </c>
    </row>
    <row r="34" ht="15.75" customHeight="1">
      <c r="A34" s="3">
        <v>104.0</v>
      </c>
      <c r="B34" s="10" t="s">
        <v>62</v>
      </c>
      <c r="C34" s="10" t="s">
        <v>13</v>
      </c>
      <c r="D34" s="10" t="s">
        <v>14</v>
      </c>
      <c r="E34" s="3">
        <v>5.0</v>
      </c>
      <c r="F34" s="3">
        <v>5.0</v>
      </c>
      <c r="G34" s="3">
        <v>3.0</v>
      </c>
      <c r="H34" s="3">
        <v>-1.0</v>
      </c>
      <c r="I34" s="11">
        <f t="shared" si="1"/>
        <v>10</v>
      </c>
      <c r="J34" s="3">
        <v>60.0</v>
      </c>
      <c r="K34" s="33">
        <v>14.0</v>
      </c>
      <c r="L34" s="33">
        <v>105.0</v>
      </c>
    </row>
    <row r="35" ht="15.75" customHeight="1">
      <c r="A35" s="3">
        <v>105.0</v>
      </c>
      <c r="B35" s="10" t="s">
        <v>126</v>
      </c>
      <c r="C35" s="10" t="s">
        <v>11</v>
      </c>
      <c r="D35" s="10" t="s">
        <v>14</v>
      </c>
      <c r="E35" s="3">
        <v>4.0</v>
      </c>
      <c r="F35" s="3">
        <v>4.0</v>
      </c>
      <c r="G35" s="3">
        <v>5.0</v>
      </c>
      <c r="H35" s="3">
        <v>-1.0</v>
      </c>
      <c r="I35" s="11">
        <f t="shared" si="1"/>
        <v>8</v>
      </c>
      <c r="J35" s="3">
        <v>40.0</v>
      </c>
      <c r="K35" s="33">
        <v>14.0</v>
      </c>
      <c r="L35" s="33">
        <v>45.0</v>
      </c>
    </row>
    <row r="36" ht="15.75" customHeight="1">
      <c r="A36" s="3">
        <v>27.0</v>
      </c>
      <c r="B36" s="10" t="s">
        <v>82</v>
      </c>
      <c r="C36" s="10" t="s">
        <v>13</v>
      </c>
      <c r="D36" s="10" t="s">
        <v>14</v>
      </c>
      <c r="E36" s="3">
        <v>5.0</v>
      </c>
      <c r="F36" s="3">
        <v>5.0</v>
      </c>
      <c r="G36" s="3">
        <v>4.0</v>
      </c>
      <c r="H36" s="3">
        <v>1.0</v>
      </c>
      <c r="I36" s="11">
        <f t="shared" si="1"/>
        <v>10</v>
      </c>
      <c r="J36" s="3">
        <v>50.0</v>
      </c>
      <c r="K36" s="33">
        <v>15.0</v>
      </c>
      <c r="L36" s="33">
        <v>90.0</v>
      </c>
    </row>
    <row r="37" ht="15.75" customHeight="1">
      <c r="A37" s="3">
        <v>91.0</v>
      </c>
      <c r="B37" s="10" t="s">
        <v>153</v>
      </c>
      <c r="C37" s="10" t="s">
        <v>11</v>
      </c>
      <c r="D37" s="10" t="s">
        <v>14</v>
      </c>
      <c r="E37" s="3">
        <v>8.0</v>
      </c>
      <c r="F37" s="3">
        <v>8.0</v>
      </c>
      <c r="G37" s="3">
        <v>6.0</v>
      </c>
      <c r="H37" s="3">
        <v>1.0</v>
      </c>
      <c r="I37" s="11">
        <f t="shared" si="1"/>
        <v>16</v>
      </c>
      <c r="J37" s="3">
        <v>100.0</v>
      </c>
      <c r="K37" s="33">
        <v>15.0</v>
      </c>
      <c r="L37" s="33">
        <v>150.0</v>
      </c>
    </row>
    <row r="38" ht="15.75" customHeight="1">
      <c r="A38" s="3">
        <v>157.0</v>
      </c>
      <c r="B38" s="10" t="s">
        <v>74</v>
      </c>
      <c r="C38" s="10" t="s">
        <v>13</v>
      </c>
      <c r="D38" s="10" t="s">
        <v>14</v>
      </c>
      <c r="E38" s="3">
        <v>5.0</v>
      </c>
      <c r="F38" s="3">
        <v>5.0</v>
      </c>
      <c r="G38" s="3">
        <v>3.0</v>
      </c>
      <c r="H38" s="3">
        <v>1.0</v>
      </c>
      <c r="I38" s="11">
        <f t="shared" si="1"/>
        <v>10</v>
      </c>
      <c r="J38" s="3">
        <v>50.0</v>
      </c>
      <c r="K38" s="33">
        <v>15.0</v>
      </c>
    </row>
    <row r="39" ht="15.75" customHeight="1">
      <c r="A39" s="3">
        <v>28.0</v>
      </c>
      <c r="B39" s="10" t="s">
        <v>147</v>
      </c>
      <c r="C39" s="10" t="s">
        <v>11</v>
      </c>
      <c r="D39" s="10" t="s">
        <v>14</v>
      </c>
      <c r="E39" s="3">
        <v>8.0</v>
      </c>
      <c r="F39" s="3">
        <v>9.0</v>
      </c>
      <c r="G39" s="3">
        <v>6.0</v>
      </c>
      <c r="H39" s="3">
        <v>1.0</v>
      </c>
      <c r="I39" s="11">
        <f t="shared" si="1"/>
        <v>17</v>
      </c>
      <c r="J39" s="3">
        <v>100.0</v>
      </c>
      <c r="K39" s="33">
        <v>16.0</v>
      </c>
      <c r="L39" s="33">
        <v>175.0</v>
      </c>
    </row>
    <row r="40" ht="15.75" customHeight="1">
      <c r="A40" s="3">
        <v>101.0</v>
      </c>
      <c r="B40" s="10" t="s">
        <v>110</v>
      </c>
      <c r="C40" s="10" t="s">
        <v>11</v>
      </c>
      <c r="D40" s="10" t="s">
        <v>11</v>
      </c>
      <c r="E40" s="3">
        <v>8.0</v>
      </c>
      <c r="F40" s="3">
        <v>8.0</v>
      </c>
      <c r="G40" s="3">
        <v>5.0</v>
      </c>
      <c r="H40" s="3">
        <v>1.0</v>
      </c>
      <c r="I40" s="11">
        <f t="shared" si="1"/>
        <v>16</v>
      </c>
      <c r="J40" s="3">
        <v>100.0</v>
      </c>
      <c r="K40" s="33">
        <v>16.0</v>
      </c>
    </row>
    <row r="41" ht="15.75" customHeight="1">
      <c r="A41" s="3">
        <v>10.0</v>
      </c>
      <c r="B41" s="15" t="s">
        <v>41</v>
      </c>
      <c r="C41" s="15" t="s">
        <v>11</v>
      </c>
      <c r="D41" s="15" t="s">
        <v>11</v>
      </c>
      <c r="E41" s="15">
        <v>4.0</v>
      </c>
      <c r="F41" s="15">
        <v>4.0</v>
      </c>
      <c r="G41" s="15">
        <v>3.0</v>
      </c>
      <c r="H41" s="15">
        <v>1.0</v>
      </c>
      <c r="I41" s="11">
        <f t="shared" si="1"/>
        <v>8</v>
      </c>
      <c r="J41" s="15">
        <v>50.0</v>
      </c>
      <c r="K41" s="33">
        <v>17.0</v>
      </c>
      <c r="L41" s="33">
        <v>90.0</v>
      </c>
    </row>
    <row r="42" ht="15.75" customHeight="1">
      <c r="A42" s="3">
        <v>13.0</v>
      </c>
      <c r="B42" s="10" t="s">
        <v>48</v>
      </c>
      <c r="C42" s="10" t="s">
        <v>13</v>
      </c>
      <c r="D42" s="10" t="s">
        <v>14</v>
      </c>
      <c r="E42" s="3">
        <v>5.0</v>
      </c>
      <c r="F42" s="3">
        <v>6.0</v>
      </c>
      <c r="G42" s="3">
        <v>3.0</v>
      </c>
      <c r="H42" s="3">
        <v>-1.0</v>
      </c>
      <c r="I42" s="11">
        <f t="shared" si="1"/>
        <v>11</v>
      </c>
      <c r="J42" s="3">
        <v>60.0</v>
      </c>
      <c r="K42" s="33">
        <v>18.0</v>
      </c>
      <c r="L42" s="33">
        <v>105.0</v>
      </c>
    </row>
    <row r="43" ht="15.75" customHeight="1">
      <c r="A43" s="3">
        <v>37.0</v>
      </c>
      <c r="B43" s="10" t="s">
        <v>10</v>
      </c>
      <c r="C43" s="10" t="s">
        <v>11</v>
      </c>
      <c r="D43" s="10" t="s">
        <v>11</v>
      </c>
      <c r="E43" s="3">
        <v>8.0</v>
      </c>
      <c r="F43" s="3">
        <v>8.0</v>
      </c>
      <c r="G43" s="3">
        <v>1.0</v>
      </c>
      <c r="H43" s="3">
        <v>-1.0</v>
      </c>
      <c r="I43" s="11">
        <f t="shared" si="1"/>
        <v>16</v>
      </c>
      <c r="J43" s="3">
        <v>100.0</v>
      </c>
      <c r="K43" s="33">
        <v>18.0</v>
      </c>
      <c r="L43" s="33">
        <v>195.0</v>
      </c>
    </row>
    <row r="44" ht="15.75" customHeight="1">
      <c r="A44" s="3">
        <v>44.0</v>
      </c>
      <c r="B44" s="10" t="s">
        <v>150</v>
      </c>
      <c r="C44" s="10" t="s">
        <v>11</v>
      </c>
      <c r="D44" s="10" t="s">
        <v>14</v>
      </c>
      <c r="E44" s="3">
        <v>7.0</v>
      </c>
      <c r="F44" s="3">
        <v>7.0</v>
      </c>
      <c r="G44" s="3">
        <v>6.0</v>
      </c>
      <c r="H44" s="3">
        <v>-1.0</v>
      </c>
      <c r="I44" s="11">
        <f t="shared" si="1"/>
        <v>14</v>
      </c>
      <c r="J44" s="3">
        <v>80.0</v>
      </c>
      <c r="K44" s="33">
        <v>18.0</v>
      </c>
      <c r="L44" s="33">
        <v>115.0</v>
      </c>
    </row>
    <row r="45" ht="15.75" customHeight="1">
      <c r="A45" s="3">
        <v>50.0</v>
      </c>
      <c r="B45" s="10" t="s">
        <v>120</v>
      </c>
      <c r="C45" s="10" t="s">
        <v>11</v>
      </c>
      <c r="D45" s="10" t="s">
        <v>14</v>
      </c>
      <c r="E45" s="3">
        <v>5.0</v>
      </c>
      <c r="F45" s="3">
        <v>4.0</v>
      </c>
      <c r="G45" s="3">
        <v>5.0</v>
      </c>
      <c r="H45" s="3">
        <v>-1.0</v>
      </c>
      <c r="I45" s="11">
        <f t="shared" si="1"/>
        <v>9</v>
      </c>
      <c r="J45" s="3">
        <v>40.0</v>
      </c>
      <c r="K45" s="33">
        <v>18.0</v>
      </c>
      <c r="L45" s="33">
        <v>70.0</v>
      </c>
    </row>
    <row r="46" ht="15.75" customHeight="1">
      <c r="A46" s="3">
        <v>68.0</v>
      </c>
      <c r="B46" s="10" t="s">
        <v>87</v>
      </c>
      <c r="C46" s="10" t="s">
        <v>13</v>
      </c>
      <c r="D46" s="10" t="s">
        <v>14</v>
      </c>
      <c r="E46" s="3">
        <v>7.0</v>
      </c>
      <c r="F46" s="3">
        <v>5.0</v>
      </c>
      <c r="G46" s="3">
        <v>4.0</v>
      </c>
      <c r="H46" s="3">
        <v>-1.0</v>
      </c>
      <c r="I46" s="11">
        <f t="shared" si="1"/>
        <v>12</v>
      </c>
      <c r="J46" s="3">
        <v>60.0</v>
      </c>
      <c r="K46" s="33">
        <v>18.0</v>
      </c>
      <c r="L46" s="33">
        <v>85.0</v>
      </c>
    </row>
    <row r="47" ht="15.75" customHeight="1">
      <c r="A47" s="3">
        <v>86.0</v>
      </c>
      <c r="B47" s="10" t="s">
        <v>125</v>
      </c>
      <c r="C47" s="10" t="s">
        <v>11</v>
      </c>
      <c r="D47" s="10" t="s">
        <v>14</v>
      </c>
      <c r="E47" s="3">
        <v>8.0</v>
      </c>
      <c r="F47" s="3">
        <v>7.0</v>
      </c>
      <c r="G47" s="3">
        <v>5.0</v>
      </c>
      <c r="H47" s="3">
        <v>1.0</v>
      </c>
      <c r="I47" s="11">
        <f t="shared" si="1"/>
        <v>15</v>
      </c>
      <c r="J47" s="3">
        <v>80.0</v>
      </c>
      <c r="K47" s="33">
        <v>18.0</v>
      </c>
      <c r="L47" s="33">
        <v>150.0</v>
      </c>
    </row>
    <row r="48" ht="15.75" customHeight="1">
      <c r="A48" s="3">
        <v>106.0</v>
      </c>
      <c r="B48" s="10" t="s">
        <v>63</v>
      </c>
      <c r="C48" s="10" t="s">
        <v>13</v>
      </c>
      <c r="D48" s="10" t="s">
        <v>14</v>
      </c>
      <c r="E48" s="3">
        <v>7.0</v>
      </c>
      <c r="F48" s="3">
        <v>5.0</v>
      </c>
      <c r="G48" s="3">
        <v>3.0</v>
      </c>
      <c r="H48" s="3">
        <v>-1.0</v>
      </c>
      <c r="I48" s="11">
        <f t="shared" si="1"/>
        <v>12</v>
      </c>
      <c r="J48" s="3">
        <v>60.0</v>
      </c>
      <c r="K48" s="33">
        <v>18.0</v>
      </c>
      <c r="L48" s="33">
        <v>125.0</v>
      </c>
    </row>
    <row r="49" ht="15.75" customHeight="1">
      <c r="A49" s="3">
        <v>88.0</v>
      </c>
      <c r="B49" s="10" t="s">
        <v>169</v>
      </c>
      <c r="C49" s="10" t="s">
        <v>11</v>
      </c>
      <c r="D49" s="10" t="s">
        <v>14</v>
      </c>
      <c r="E49" s="3">
        <v>10.0</v>
      </c>
      <c r="F49" s="3">
        <v>8.0</v>
      </c>
      <c r="G49" s="3">
        <v>8.0</v>
      </c>
      <c r="H49" s="3">
        <v>-1.0</v>
      </c>
      <c r="I49" s="11">
        <f t="shared" si="1"/>
        <v>18</v>
      </c>
      <c r="J49" s="3">
        <v>120.0</v>
      </c>
      <c r="K49" s="33">
        <v>20.0</v>
      </c>
      <c r="L49" s="33">
        <v>175.0</v>
      </c>
    </row>
    <row r="50" ht="15.75" customHeight="1">
      <c r="A50" s="3">
        <v>155.0</v>
      </c>
      <c r="B50" s="10" t="s">
        <v>105</v>
      </c>
      <c r="C50" s="10" t="s">
        <v>11</v>
      </c>
      <c r="D50" s="10" t="s">
        <v>14</v>
      </c>
      <c r="E50" s="3">
        <v>8.0</v>
      </c>
      <c r="F50" s="3">
        <v>8.0</v>
      </c>
      <c r="G50" s="3">
        <v>4.0</v>
      </c>
      <c r="H50" s="3">
        <v>-1.0</v>
      </c>
      <c r="I50" s="11">
        <f t="shared" si="1"/>
        <v>16</v>
      </c>
      <c r="J50" s="3">
        <v>100.0</v>
      </c>
      <c r="K50" s="33">
        <v>20.0</v>
      </c>
      <c r="L50" s="33">
        <v>185.0</v>
      </c>
    </row>
    <row r="51" ht="15.75" customHeight="1">
      <c r="A51" s="3">
        <v>120.0</v>
      </c>
      <c r="B51" s="10" t="s">
        <v>130</v>
      </c>
      <c r="C51" s="10" t="s">
        <v>13</v>
      </c>
      <c r="D51" s="10" t="s">
        <v>14</v>
      </c>
      <c r="E51" s="3">
        <v>6.0</v>
      </c>
      <c r="F51" s="3">
        <v>6.0</v>
      </c>
      <c r="G51" s="3">
        <v>5.0</v>
      </c>
      <c r="H51" s="3">
        <v>-1.0</v>
      </c>
      <c r="I51" s="11">
        <f t="shared" si="1"/>
        <v>12</v>
      </c>
      <c r="J51" s="3">
        <v>60.0</v>
      </c>
      <c r="K51" s="33" t="s">
        <v>180</v>
      </c>
    </row>
    <row r="52" ht="15.75" customHeight="1">
      <c r="A52" s="3">
        <v>89.0</v>
      </c>
      <c r="B52" s="10" t="s">
        <v>37</v>
      </c>
      <c r="C52" s="10" t="s">
        <v>13</v>
      </c>
      <c r="D52" s="10" t="s">
        <v>14</v>
      </c>
      <c r="E52" s="3">
        <v>5.0</v>
      </c>
      <c r="F52" s="3">
        <v>5.0</v>
      </c>
      <c r="G52" s="3">
        <v>2.0</v>
      </c>
      <c r="H52" s="3">
        <v>1.0</v>
      </c>
      <c r="I52" s="11">
        <f t="shared" si="1"/>
        <v>10</v>
      </c>
      <c r="J52" s="3">
        <v>60.0</v>
      </c>
      <c r="K52" s="33" t="s">
        <v>179</v>
      </c>
    </row>
    <row r="53" ht="15.75" customHeight="1">
      <c r="A53" s="3">
        <v>2.0</v>
      </c>
      <c r="B53" s="10" t="s">
        <v>15</v>
      </c>
      <c r="C53" s="10" t="s">
        <v>11</v>
      </c>
      <c r="D53" s="10" t="s">
        <v>14</v>
      </c>
      <c r="E53" s="3">
        <v>9.0</v>
      </c>
      <c r="F53" s="3">
        <v>9.0</v>
      </c>
      <c r="G53" s="3">
        <v>1.0</v>
      </c>
      <c r="H53" s="3">
        <v>-1.0</v>
      </c>
      <c r="I53" s="11">
        <f t="shared" si="1"/>
        <v>18</v>
      </c>
      <c r="J53" s="3">
        <v>120.0</v>
      </c>
      <c r="K53" s="33" t="s">
        <v>176</v>
      </c>
    </row>
    <row r="54" ht="15.75" customHeight="1">
      <c r="A54" s="3">
        <v>5.0</v>
      </c>
      <c r="B54" s="10" t="s">
        <v>79</v>
      </c>
      <c r="C54" s="10" t="s">
        <v>13</v>
      </c>
      <c r="D54" s="10" t="s">
        <v>14</v>
      </c>
      <c r="E54" s="3">
        <v>6.0</v>
      </c>
      <c r="F54" s="3">
        <v>5.0</v>
      </c>
      <c r="G54" s="3">
        <v>4.0</v>
      </c>
      <c r="H54" s="3">
        <v>-1.0</v>
      </c>
      <c r="I54" s="11">
        <f t="shared" si="1"/>
        <v>11</v>
      </c>
      <c r="J54" s="3">
        <v>60.0</v>
      </c>
      <c r="K54" s="33" t="s">
        <v>176</v>
      </c>
    </row>
    <row r="55" ht="15.75" customHeight="1">
      <c r="A55" s="3">
        <v>20.0</v>
      </c>
      <c r="B55" s="10" t="s">
        <v>116</v>
      </c>
      <c r="C55" s="10" t="s">
        <v>11</v>
      </c>
      <c r="D55" s="10" t="s">
        <v>14</v>
      </c>
      <c r="E55" s="3">
        <v>9.0</v>
      </c>
      <c r="F55" s="3">
        <v>9.0</v>
      </c>
      <c r="G55" s="3">
        <v>5.0</v>
      </c>
      <c r="H55" s="3">
        <v>1.0</v>
      </c>
      <c r="I55" s="11">
        <f t="shared" si="1"/>
        <v>18</v>
      </c>
      <c r="J55" s="3">
        <v>120.0</v>
      </c>
      <c r="K55" s="33" t="s">
        <v>176</v>
      </c>
    </row>
    <row r="56" ht="15.75" customHeight="1">
      <c r="A56" s="3">
        <v>33.0</v>
      </c>
      <c r="B56" s="10" t="s">
        <v>50</v>
      </c>
      <c r="C56" s="10" t="s">
        <v>11</v>
      </c>
      <c r="D56" s="10" t="s">
        <v>14</v>
      </c>
      <c r="E56" s="3">
        <v>8.0</v>
      </c>
      <c r="F56" s="3">
        <v>8.0</v>
      </c>
      <c r="G56" s="3">
        <v>3.0</v>
      </c>
      <c r="H56" s="3">
        <v>1.0</v>
      </c>
      <c r="I56" s="11">
        <f t="shared" si="1"/>
        <v>16</v>
      </c>
      <c r="J56" s="3">
        <v>100.0</v>
      </c>
      <c r="K56" s="33" t="s">
        <v>176</v>
      </c>
    </row>
    <row r="57" ht="15.75" customHeight="1">
      <c r="A57" s="3">
        <v>43.0</v>
      </c>
      <c r="B57" s="10" t="s">
        <v>54</v>
      </c>
      <c r="C57" s="10" t="s">
        <v>13</v>
      </c>
      <c r="D57" s="10" t="s">
        <v>14</v>
      </c>
      <c r="E57" s="3">
        <v>4.0</v>
      </c>
      <c r="F57" s="3">
        <v>8.0</v>
      </c>
      <c r="G57" s="3">
        <v>3.0</v>
      </c>
      <c r="H57" s="3">
        <v>1.0</v>
      </c>
      <c r="I57" s="11">
        <f t="shared" si="1"/>
        <v>12</v>
      </c>
      <c r="J57" s="3">
        <v>60.0</v>
      </c>
      <c r="K57" s="33" t="s">
        <v>176</v>
      </c>
    </row>
    <row r="58" ht="15.75" customHeight="1">
      <c r="A58" s="3">
        <v>49.0</v>
      </c>
      <c r="B58" s="10" t="s">
        <v>119</v>
      </c>
      <c r="C58" s="10" t="s">
        <v>13</v>
      </c>
      <c r="D58" s="10" t="s">
        <v>14</v>
      </c>
      <c r="E58" s="3">
        <v>8.0</v>
      </c>
      <c r="F58" s="3">
        <v>8.0</v>
      </c>
      <c r="G58" s="3">
        <v>5.0</v>
      </c>
      <c r="H58" s="3">
        <v>1.0</v>
      </c>
      <c r="I58" s="11">
        <f t="shared" si="1"/>
        <v>16</v>
      </c>
      <c r="J58" s="3">
        <v>100.0</v>
      </c>
      <c r="K58" s="33" t="s">
        <v>176</v>
      </c>
    </row>
    <row r="59" ht="15.75" customHeight="1">
      <c r="A59" s="3">
        <v>59.0</v>
      </c>
      <c r="B59" s="10" t="s">
        <v>57</v>
      </c>
      <c r="C59" s="10" t="s">
        <v>13</v>
      </c>
      <c r="D59" s="10" t="s">
        <v>14</v>
      </c>
      <c r="E59" s="3">
        <v>5.0</v>
      </c>
      <c r="F59" s="3">
        <v>6.0</v>
      </c>
      <c r="G59" s="3">
        <v>3.0</v>
      </c>
      <c r="H59" s="3">
        <v>1.0</v>
      </c>
      <c r="I59" s="11">
        <f t="shared" si="1"/>
        <v>11</v>
      </c>
      <c r="J59" s="3">
        <v>60.0</v>
      </c>
      <c r="K59" s="33" t="s">
        <v>176</v>
      </c>
    </row>
    <row r="60" ht="15.75" customHeight="1">
      <c r="A60" s="3">
        <v>66.0</v>
      </c>
      <c r="B60" s="10" t="s">
        <v>86</v>
      </c>
      <c r="C60" s="10" t="s">
        <v>13</v>
      </c>
      <c r="D60" s="10" t="s">
        <v>14</v>
      </c>
      <c r="E60" s="3">
        <v>6.0</v>
      </c>
      <c r="F60" s="3">
        <v>5.0</v>
      </c>
      <c r="G60" s="3">
        <v>4.0</v>
      </c>
      <c r="H60" s="3">
        <v>-1.0</v>
      </c>
      <c r="I60" s="11">
        <f t="shared" si="1"/>
        <v>11</v>
      </c>
      <c r="J60" s="3">
        <v>60.0</v>
      </c>
      <c r="K60" s="33" t="s">
        <v>176</v>
      </c>
    </row>
    <row r="61" ht="15.75" customHeight="1">
      <c r="A61" s="3">
        <v>67.0</v>
      </c>
      <c r="B61" s="10" t="s">
        <v>123</v>
      </c>
      <c r="C61" s="10" t="s">
        <v>11</v>
      </c>
      <c r="D61" s="10" t="s">
        <v>14</v>
      </c>
      <c r="E61" s="3">
        <v>7.0</v>
      </c>
      <c r="F61" s="3">
        <v>8.0</v>
      </c>
      <c r="G61" s="3">
        <v>5.0</v>
      </c>
      <c r="H61" s="3">
        <v>1.0</v>
      </c>
      <c r="I61" s="11">
        <f t="shared" si="1"/>
        <v>15</v>
      </c>
      <c r="J61" s="3">
        <v>80.0</v>
      </c>
      <c r="K61" s="33" t="s">
        <v>176</v>
      </c>
    </row>
    <row r="62" ht="15.75" customHeight="1">
      <c r="A62" s="3">
        <v>69.0</v>
      </c>
      <c r="B62" s="10" t="s">
        <v>108</v>
      </c>
      <c r="C62" s="10" t="s">
        <v>11</v>
      </c>
      <c r="D62" s="10" t="s">
        <v>11</v>
      </c>
      <c r="E62" s="3">
        <v>7.0</v>
      </c>
      <c r="F62" s="3">
        <v>5.0</v>
      </c>
      <c r="G62" s="3">
        <v>5.0</v>
      </c>
      <c r="H62" s="3">
        <v>1.0</v>
      </c>
      <c r="I62" s="11">
        <f t="shared" si="1"/>
        <v>12</v>
      </c>
      <c r="J62" s="3">
        <v>80.0</v>
      </c>
      <c r="K62" s="33" t="s">
        <v>176</v>
      </c>
    </row>
    <row r="63" ht="15.75" customHeight="1">
      <c r="A63" s="3">
        <v>70.0</v>
      </c>
      <c r="B63" s="10" t="s">
        <v>88</v>
      </c>
      <c r="C63" s="10" t="s">
        <v>11</v>
      </c>
      <c r="D63" s="10" t="s">
        <v>14</v>
      </c>
      <c r="E63" s="3">
        <v>8.0</v>
      </c>
      <c r="F63" s="3">
        <v>7.0</v>
      </c>
      <c r="G63" s="3">
        <v>4.0</v>
      </c>
      <c r="H63" s="3">
        <v>-1.0</v>
      </c>
      <c r="I63" s="11">
        <f t="shared" si="1"/>
        <v>15</v>
      </c>
      <c r="J63" s="3">
        <v>80.0</v>
      </c>
      <c r="K63" s="33" t="s">
        <v>176</v>
      </c>
    </row>
    <row r="64" ht="15.75" customHeight="1">
      <c r="A64" s="3">
        <v>80.0</v>
      </c>
      <c r="B64" s="10" t="s">
        <v>92</v>
      </c>
      <c r="C64" s="10" t="s">
        <v>11</v>
      </c>
      <c r="D64" s="10" t="s">
        <v>14</v>
      </c>
      <c r="E64" s="3">
        <v>7.0</v>
      </c>
      <c r="F64" s="3">
        <v>6.0</v>
      </c>
      <c r="G64" s="3">
        <v>4.0</v>
      </c>
      <c r="H64" s="3">
        <v>-1.0</v>
      </c>
      <c r="I64" s="11">
        <f t="shared" si="1"/>
        <v>13</v>
      </c>
      <c r="J64" s="3">
        <v>80.0</v>
      </c>
      <c r="K64" s="33" t="s">
        <v>176</v>
      </c>
    </row>
    <row r="65" ht="15.75" customHeight="1">
      <c r="A65" s="3">
        <v>83.0</v>
      </c>
      <c r="B65" s="10" t="s">
        <v>36</v>
      </c>
      <c r="C65" s="10" t="s">
        <v>11</v>
      </c>
      <c r="D65" s="10" t="s">
        <v>14</v>
      </c>
      <c r="E65" s="3">
        <v>7.0</v>
      </c>
      <c r="F65" s="3">
        <v>8.0</v>
      </c>
      <c r="G65" s="3">
        <v>2.0</v>
      </c>
      <c r="H65" s="3">
        <v>1.0</v>
      </c>
      <c r="I65" s="11">
        <f t="shared" si="1"/>
        <v>15</v>
      </c>
      <c r="J65" s="3">
        <v>80.0</v>
      </c>
      <c r="K65" s="33" t="s">
        <v>176</v>
      </c>
    </row>
    <row r="66" ht="15.75" customHeight="1">
      <c r="A66" s="3">
        <v>84.0</v>
      </c>
      <c r="B66" s="10" t="s">
        <v>93</v>
      </c>
      <c r="C66" s="10" t="s">
        <v>11</v>
      </c>
      <c r="D66" s="10" t="s">
        <v>14</v>
      </c>
      <c r="E66" s="3">
        <v>7.0</v>
      </c>
      <c r="F66" s="3">
        <v>7.0</v>
      </c>
      <c r="G66" s="3">
        <v>4.0</v>
      </c>
      <c r="H66" s="3">
        <v>-1.0</v>
      </c>
      <c r="I66" s="11">
        <f t="shared" si="1"/>
        <v>14</v>
      </c>
      <c r="J66" s="3">
        <v>80.0</v>
      </c>
      <c r="K66" s="33" t="s">
        <v>176</v>
      </c>
    </row>
    <row r="67" ht="15.75" customHeight="1">
      <c r="A67" s="3">
        <v>87.0</v>
      </c>
      <c r="B67" s="36" t="s">
        <v>77</v>
      </c>
      <c r="C67" s="15" t="s">
        <v>11</v>
      </c>
      <c r="D67" s="15" t="s">
        <v>11</v>
      </c>
      <c r="E67" s="15">
        <v>7.0</v>
      </c>
      <c r="F67" s="15">
        <v>6.0</v>
      </c>
      <c r="G67" s="15">
        <v>4.0</v>
      </c>
      <c r="H67" s="15">
        <v>-1.0</v>
      </c>
      <c r="I67" s="11">
        <f t="shared" si="1"/>
        <v>13</v>
      </c>
      <c r="J67" s="15">
        <v>80.0</v>
      </c>
      <c r="K67" s="33" t="s">
        <v>176</v>
      </c>
    </row>
    <row r="68" ht="15.75" customHeight="1">
      <c r="A68" s="3">
        <v>102.0</v>
      </c>
      <c r="B68" s="10" t="s">
        <v>97</v>
      </c>
      <c r="C68" s="10" t="s">
        <v>13</v>
      </c>
      <c r="D68" s="10" t="s">
        <v>14</v>
      </c>
      <c r="E68" s="3">
        <v>5.0</v>
      </c>
      <c r="F68" s="3">
        <v>6.0</v>
      </c>
      <c r="G68" s="3">
        <v>4.0</v>
      </c>
      <c r="H68" s="3">
        <v>-1.0</v>
      </c>
      <c r="I68" s="11">
        <f t="shared" si="1"/>
        <v>11</v>
      </c>
      <c r="J68" s="3">
        <v>60.0</v>
      </c>
      <c r="K68" s="33" t="s">
        <v>176</v>
      </c>
    </row>
    <row r="69" ht="15.75" customHeight="1">
      <c r="A69" s="3">
        <v>112.0</v>
      </c>
      <c r="B69" s="10" t="s">
        <v>100</v>
      </c>
      <c r="C69" s="10" t="s">
        <v>13</v>
      </c>
      <c r="D69" s="10" t="s">
        <v>14</v>
      </c>
      <c r="E69" s="3">
        <v>5.0</v>
      </c>
      <c r="F69" s="3">
        <v>4.0</v>
      </c>
      <c r="G69" s="3">
        <v>4.0</v>
      </c>
      <c r="H69" s="3">
        <v>1.0</v>
      </c>
      <c r="I69" s="11">
        <f t="shared" si="1"/>
        <v>9</v>
      </c>
      <c r="J69" s="3">
        <v>50.0</v>
      </c>
      <c r="K69" s="33" t="s">
        <v>176</v>
      </c>
    </row>
    <row r="70" ht="15.75" customHeight="1">
      <c r="A70" s="3">
        <v>114.0</v>
      </c>
      <c r="B70" s="10" t="s">
        <v>44</v>
      </c>
      <c r="C70" s="10" t="s">
        <v>13</v>
      </c>
      <c r="D70" s="10" t="s">
        <v>11</v>
      </c>
      <c r="E70" s="3">
        <v>7.0</v>
      </c>
      <c r="F70" s="3">
        <v>5.0</v>
      </c>
      <c r="G70" s="3">
        <v>3.0</v>
      </c>
      <c r="H70" s="3">
        <v>-1.0</v>
      </c>
      <c r="I70" s="11">
        <f t="shared" si="1"/>
        <v>12</v>
      </c>
      <c r="J70" s="3">
        <v>80.0</v>
      </c>
      <c r="K70" s="33" t="s">
        <v>176</v>
      </c>
    </row>
    <row r="71" ht="15.75" customHeight="1">
      <c r="A71" s="3">
        <v>134.0</v>
      </c>
      <c r="B71" s="10" t="s">
        <v>24</v>
      </c>
      <c r="C71" s="10" t="s">
        <v>11</v>
      </c>
      <c r="D71" s="10" t="s">
        <v>11</v>
      </c>
      <c r="E71" s="3">
        <v>4.0</v>
      </c>
      <c r="F71" s="3">
        <v>5.0</v>
      </c>
      <c r="G71" s="3">
        <v>2.0</v>
      </c>
      <c r="H71" s="3">
        <v>-1.0</v>
      </c>
      <c r="I71" s="11">
        <f t="shared" si="1"/>
        <v>9</v>
      </c>
      <c r="J71" s="3">
        <v>50.0</v>
      </c>
      <c r="K71" s="33" t="s">
        <v>176</v>
      </c>
    </row>
    <row r="72" ht="15.75" customHeight="1">
      <c r="A72" s="3">
        <v>137.0</v>
      </c>
      <c r="B72" s="10" t="s">
        <v>71</v>
      </c>
      <c r="C72" s="10" t="s">
        <v>13</v>
      </c>
      <c r="D72" s="10" t="s">
        <v>14</v>
      </c>
      <c r="E72" s="3">
        <v>6.0</v>
      </c>
      <c r="F72" s="3">
        <v>3.0</v>
      </c>
      <c r="G72" s="3">
        <v>3.0</v>
      </c>
      <c r="H72" s="3">
        <v>-1.0</v>
      </c>
      <c r="I72" s="11">
        <f t="shared" si="1"/>
        <v>9</v>
      </c>
      <c r="J72" s="3">
        <v>60.0</v>
      </c>
      <c r="K72" s="33" t="s">
        <v>176</v>
      </c>
    </row>
    <row r="73" ht="15.75" customHeight="1">
      <c r="A73" s="3">
        <v>143.0</v>
      </c>
      <c r="B73" s="37" t="s">
        <v>112</v>
      </c>
      <c r="C73" s="15" t="s">
        <v>11</v>
      </c>
      <c r="D73" s="15" t="s">
        <v>11</v>
      </c>
      <c r="E73" s="15">
        <v>7.0</v>
      </c>
      <c r="F73" s="15">
        <v>7.0</v>
      </c>
      <c r="G73" s="15">
        <v>5.0</v>
      </c>
      <c r="H73" s="15">
        <v>1.0</v>
      </c>
      <c r="I73" s="11">
        <f t="shared" si="1"/>
        <v>14</v>
      </c>
      <c r="J73" s="15">
        <v>80.0</v>
      </c>
      <c r="K73" s="33" t="s">
        <v>182</v>
      </c>
    </row>
    <row r="74" ht="15.75" customHeight="1">
      <c r="A74" s="3">
        <v>153.0</v>
      </c>
      <c r="B74" s="10" t="s">
        <v>21</v>
      </c>
      <c r="C74" s="10" t="s">
        <v>11</v>
      </c>
      <c r="D74" s="10" t="s">
        <v>14</v>
      </c>
      <c r="E74" s="3">
        <v>10.0</v>
      </c>
      <c r="F74" s="3">
        <v>7.0</v>
      </c>
      <c r="G74" s="3">
        <v>1.0</v>
      </c>
      <c r="H74" s="3">
        <v>-1.0</v>
      </c>
      <c r="I74" s="11">
        <f t="shared" si="1"/>
        <v>17</v>
      </c>
      <c r="J74" s="3">
        <v>100.0</v>
      </c>
      <c r="K74" s="33" t="s">
        <v>176</v>
      </c>
    </row>
    <row r="75" ht="15.75" customHeight="1">
      <c r="A75" s="1" t="s">
        <v>0</v>
      </c>
      <c r="B75" s="1" t="s">
        <v>1</v>
      </c>
      <c r="C75" s="1" t="s">
        <v>2</v>
      </c>
      <c r="D75" s="1" t="s">
        <v>3</v>
      </c>
      <c r="E75" s="1" t="s">
        <v>4</v>
      </c>
      <c r="F75" s="1" t="s">
        <v>5</v>
      </c>
      <c r="G75" s="1" t="s">
        <v>6</v>
      </c>
      <c r="H75" s="1" t="s">
        <v>7</v>
      </c>
      <c r="I75" s="2" t="s">
        <v>8</v>
      </c>
      <c r="J75" s="1" t="s">
        <v>9</v>
      </c>
      <c r="K75" s="33" t="s">
        <v>173</v>
      </c>
      <c r="L75" s="33" t="s">
        <v>174</v>
      </c>
      <c r="M75" s="33" t="s">
        <v>175</v>
      </c>
    </row>
    <row r="76" ht="15.75" customHeight="1">
      <c r="A76" s="3">
        <v>14.0</v>
      </c>
      <c r="B76" s="10" t="s">
        <v>114</v>
      </c>
      <c r="C76" s="10" t="s">
        <v>13</v>
      </c>
      <c r="D76" s="10" t="s">
        <v>14</v>
      </c>
      <c r="E76" s="3">
        <v>5.0</v>
      </c>
      <c r="F76" s="3">
        <v>5.0</v>
      </c>
      <c r="G76" s="3">
        <v>5.0</v>
      </c>
      <c r="H76" s="3">
        <v>-1.0</v>
      </c>
      <c r="I76" s="11">
        <f t="shared" ref="I76:I161" si="2">sum(E76,F76)</f>
        <v>10</v>
      </c>
      <c r="J76" s="3">
        <v>50.0</v>
      </c>
      <c r="K76" s="33" t="s">
        <v>178</v>
      </c>
    </row>
    <row r="77" ht="15.75" customHeight="1">
      <c r="A77" s="3">
        <v>35.0</v>
      </c>
      <c r="B77" s="10" t="s">
        <v>148</v>
      </c>
      <c r="C77" s="10" t="s">
        <v>11</v>
      </c>
      <c r="D77" s="10" t="s">
        <v>14</v>
      </c>
      <c r="E77" s="3">
        <v>7.0</v>
      </c>
      <c r="F77" s="3">
        <v>7.0</v>
      </c>
      <c r="G77" s="3">
        <v>6.0</v>
      </c>
      <c r="H77" s="3">
        <v>1.0</v>
      </c>
      <c r="I77" s="11">
        <f t="shared" si="2"/>
        <v>14</v>
      </c>
      <c r="J77" s="3">
        <v>80.0</v>
      </c>
      <c r="K77" s="33" t="s">
        <v>178</v>
      </c>
    </row>
    <row r="78" ht="15.75" customHeight="1">
      <c r="A78" s="3">
        <v>41.0</v>
      </c>
      <c r="B78" s="10" t="s">
        <v>162</v>
      </c>
      <c r="C78" s="10" t="s">
        <v>11</v>
      </c>
      <c r="D78" s="10" t="s">
        <v>14</v>
      </c>
      <c r="E78" s="3">
        <v>8.0</v>
      </c>
      <c r="F78" s="3">
        <v>8.0</v>
      </c>
      <c r="G78" s="3">
        <v>7.0</v>
      </c>
      <c r="H78" s="3">
        <v>1.0</v>
      </c>
      <c r="I78" s="11">
        <f t="shared" si="2"/>
        <v>16</v>
      </c>
      <c r="J78" s="3">
        <v>100.0</v>
      </c>
      <c r="K78" s="33" t="s">
        <v>178</v>
      </c>
    </row>
    <row r="79" ht="15.75" customHeight="1">
      <c r="A79" s="3">
        <v>52.0</v>
      </c>
      <c r="B79" s="10" t="s">
        <v>56</v>
      </c>
      <c r="C79" s="10" t="s">
        <v>13</v>
      </c>
      <c r="D79" s="10" t="s">
        <v>14</v>
      </c>
      <c r="E79" s="3">
        <v>4.0</v>
      </c>
      <c r="F79" s="3">
        <v>4.0</v>
      </c>
      <c r="G79" s="3">
        <v>3.0</v>
      </c>
      <c r="H79" s="3">
        <v>-1.0</v>
      </c>
      <c r="I79" s="11">
        <f t="shared" si="2"/>
        <v>8</v>
      </c>
      <c r="J79" s="3">
        <v>40.0</v>
      </c>
      <c r="K79" s="33" t="s">
        <v>178</v>
      </c>
      <c r="L79" s="33">
        <v>90.0</v>
      </c>
    </row>
    <row r="80" ht="15.75" customHeight="1">
      <c r="A80" s="3">
        <v>54.0</v>
      </c>
      <c r="B80" s="10" t="s">
        <v>121</v>
      </c>
      <c r="C80" s="10" t="s">
        <v>13</v>
      </c>
      <c r="D80" s="10" t="s">
        <v>14</v>
      </c>
      <c r="E80" s="3">
        <v>7.0</v>
      </c>
      <c r="F80" s="3">
        <v>6.0</v>
      </c>
      <c r="G80" s="3">
        <v>5.0</v>
      </c>
      <c r="H80" s="3">
        <v>-1.0</v>
      </c>
      <c r="I80" s="11">
        <f t="shared" si="2"/>
        <v>13</v>
      </c>
      <c r="J80" s="3">
        <v>80.0</v>
      </c>
      <c r="K80" s="33" t="s">
        <v>178</v>
      </c>
    </row>
    <row r="81" ht="15.75" customHeight="1">
      <c r="A81" s="3">
        <v>57.0</v>
      </c>
      <c r="B81" s="10" t="s">
        <v>164</v>
      </c>
      <c r="C81" s="10" t="s">
        <v>11</v>
      </c>
      <c r="D81" s="10" t="s">
        <v>14</v>
      </c>
      <c r="E81" s="3">
        <v>8.0</v>
      </c>
      <c r="F81" s="3">
        <v>9.0</v>
      </c>
      <c r="G81" s="3">
        <v>7.0</v>
      </c>
      <c r="H81" s="3">
        <v>-1.0</v>
      </c>
      <c r="I81" s="11">
        <f t="shared" si="2"/>
        <v>17</v>
      </c>
      <c r="J81" s="3">
        <v>100.0</v>
      </c>
      <c r="K81" s="33" t="s">
        <v>178</v>
      </c>
    </row>
    <row r="82" ht="15.75" customHeight="1">
      <c r="A82" s="3">
        <v>58.0</v>
      </c>
      <c r="B82" s="10" t="s">
        <v>107</v>
      </c>
      <c r="C82" s="10" t="s">
        <v>13</v>
      </c>
      <c r="D82" s="10" t="s">
        <v>11</v>
      </c>
      <c r="E82" s="3">
        <v>6.0</v>
      </c>
      <c r="F82" s="3">
        <v>4.0</v>
      </c>
      <c r="G82" s="3">
        <v>5.0</v>
      </c>
      <c r="H82" s="3">
        <v>-1.0</v>
      </c>
      <c r="I82" s="11">
        <f t="shared" si="2"/>
        <v>10</v>
      </c>
      <c r="J82" s="3">
        <v>60.0</v>
      </c>
      <c r="K82" s="33" t="s">
        <v>178</v>
      </c>
    </row>
    <row r="83" ht="15.75" customHeight="1">
      <c r="A83" s="3">
        <v>85.0</v>
      </c>
      <c r="B83" s="10" t="s">
        <v>152</v>
      </c>
      <c r="C83" s="10" t="s">
        <v>11</v>
      </c>
      <c r="D83" s="10" t="s">
        <v>14</v>
      </c>
      <c r="E83" s="3">
        <v>4.0</v>
      </c>
      <c r="F83" s="3">
        <v>4.0</v>
      </c>
      <c r="G83" s="3">
        <v>6.0</v>
      </c>
      <c r="H83" s="3">
        <v>1.0</v>
      </c>
      <c r="I83" s="11">
        <f t="shared" si="2"/>
        <v>8</v>
      </c>
      <c r="J83" s="3">
        <v>40.0</v>
      </c>
      <c r="K83" s="33" t="s">
        <v>178</v>
      </c>
    </row>
    <row r="84" ht="15.75" customHeight="1">
      <c r="A84" s="3">
        <v>90.0</v>
      </c>
      <c r="B84" s="10" t="s">
        <v>170</v>
      </c>
      <c r="C84" s="10" t="s">
        <v>11</v>
      </c>
      <c r="D84" s="10" t="s">
        <v>14</v>
      </c>
      <c r="E84" s="3">
        <v>9.0</v>
      </c>
      <c r="F84" s="3">
        <v>8.0</v>
      </c>
      <c r="G84" s="3">
        <v>8.0</v>
      </c>
      <c r="H84" s="3">
        <v>1.0</v>
      </c>
      <c r="I84" s="11">
        <f t="shared" si="2"/>
        <v>17</v>
      </c>
      <c r="J84" s="3">
        <v>100.0</v>
      </c>
      <c r="K84" s="33" t="s">
        <v>178</v>
      </c>
    </row>
    <row r="85" ht="15.75" customHeight="1">
      <c r="A85" s="3">
        <v>94.0</v>
      </c>
      <c r="B85" s="10" t="s">
        <v>94</v>
      </c>
      <c r="C85" s="10" t="s">
        <v>13</v>
      </c>
      <c r="D85" s="10" t="s">
        <v>14</v>
      </c>
      <c r="E85" s="3">
        <v>3.0</v>
      </c>
      <c r="F85" s="3">
        <v>3.0</v>
      </c>
      <c r="G85" s="3">
        <v>4.0</v>
      </c>
      <c r="H85" s="3">
        <v>1.0</v>
      </c>
      <c r="I85" s="11">
        <f t="shared" si="2"/>
        <v>6</v>
      </c>
      <c r="J85" s="3">
        <v>30.0</v>
      </c>
      <c r="K85" s="33" t="s">
        <v>178</v>
      </c>
    </row>
    <row r="86" ht="15.75" customHeight="1">
      <c r="A86" s="3">
        <v>111.0</v>
      </c>
      <c r="B86" s="10" t="s">
        <v>99</v>
      </c>
      <c r="C86" s="10" t="s">
        <v>13</v>
      </c>
      <c r="D86" s="10" t="s">
        <v>14</v>
      </c>
      <c r="E86" s="3">
        <v>5.0</v>
      </c>
      <c r="F86" s="3">
        <v>5.0</v>
      </c>
      <c r="G86" s="3">
        <v>4.0</v>
      </c>
      <c r="H86" s="3">
        <v>-1.0</v>
      </c>
      <c r="I86" s="11">
        <f t="shared" si="2"/>
        <v>10</v>
      </c>
      <c r="J86" s="3">
        <v>60.0</v>
      </c>
      <c r="K86" s="33" t="s">
        <v>178</v>
      </c>
    </row>
    <row r="87" ht="15.75" customHeight="1">
      <c r="A87" s="3">
        <v>121.0</v>
      </c>
      <c r="B87" s="20" t="s">
        <v>165</v>
      </c>
      <c r="C87" s="10" t="s">
        <v>11</v>
      </c>
      <c r="D87" s="10" t="s">
        <v>14</v>
      </c>
      <c r="E87" s="3">
        <v>8.0</v>
      </c>
      <c r="F87" s="3">
        <v>8.0</v>
      </c>
      <c r="G87" s="3">
        <v>7.0</v>
      </c>
      <c r="H87" s="3">
        <v>-1.0</v>
      </c>
      <c r="I87" s="11">
        <f t="shared" si="2"/>
        <v>16</v>
      </c>
      <c r="J87" s="3">
        <v>100.0</v>
      </c>
      <c r="K87" s="33" t="s">
        <v>181</v>
      </c>
    </row>
    <row r="88" ht="15.75" customHeight="1">
      <c r="A88" s="3">
        <v>131.0</v>
      </c>
      <c r="B88" s="10" t="s">
        <v>171</v>
      </c>
      <c r="C88" s="10" t="s">
        <v>11</v>
      </c>
      <c r="D88" s="10" t="s">
        <v>14</v>
      </c>
      <c r="E88" s="3">
        <v>7.0</v>
      </c>
      <c r="F88" s="3">
        <v>4.0</v>
      </c>
      <c r="G88" s="3">
        <v>8.0</v>
      </c>
      <c r="H88" s="3">
        <v>1.0</v>
      </c>
      <c r="I88" s="11">
        <f t="shared" si="2"/>
        <v>11</v>
      </c>
      <c r="J88" s="3">
        <v>60.0</v>
      </c>
      <c r="K88" s="33" t="s">
        <v>178</v>
      </c>
    </row>
    <row r="89" ht="15.75" customHeight="1">
      <c r="A89" s="3">
        <v>139.0</v>
      </c>
      <c r="B89" s="10" t="s">
        <v>135</v>
      </c>
      <c r="C89" s="10" t="s">
        <v>13</v>
      </c>
      <c r="D89" s="10" t="s">
        <v>14</v>
      </c>
      <c r="E89" s="3">
        <v>5.0</v>
      </c>
      <c r="F89" s="3">
        <v>4.0</v>
      </c>
      <c r="G89" s="3">
        <v>5.0</v>
      </c>
      <c r="H89" s="3">
        <v>-1.0</v>
      </c>
      <c r="I89" s="11">
        <f t="shared" si="2"/>
        <v>9</v>
      </c>
      <c r="J89" s="3">
        <v>50.0</v>
      </c>
      <c r="K89" s="33" t="s">
        <v>178</v>
      </c>
    </row>
    <row r="90" ht="15.75" customHeight="1">
      <c r="A90" s="3">
        <v>142.0</v>
      </c>
      <c r="B90" s="10" t="s">
        <v>136</v>
      </c>
      <c r="C90" s="10" t="s">
        <v>11</v>
      </c>
      <c r="D90" s="10" t="s">
        <v>14</v>
      </c>
      <c r="E90" s="3">
        <v>7.0</v>
      </c>
      <c r="F90" s="3">
        <v>7.0</v>
      </c>
      <c r="G90" s="3">
        <v>5.0</v>
      </c>
      <c r="H90" s="3">
        <v>-1.0</v>
      </c>
      <c r="I90" s="11">
        <f t="shared" si="2"/>
        <v>14</v>
      </c>
      <c r="J90" s="3">
        <v>80.0</v>
      </c>
      <c r="K90" s="33" t="s">
        <v>178</v>
      </c>
    </row>
    <row r="91" ht="15.75" customHeight="1">
      <c r="A91" s="3">
        <v>146.0</v>
      </c>
      <c r="B91" s="10" t="s">
        <v>137</v>
      </c>
      <c r="C91" s="10" t="s">
        <v>11</v>
      </c>
      <c r="D91" s="10" t="s">
        <v>14</v>
      </c>
      <c r="E91" s="3">
        <v>7.0</v>
      </c>
      <c r="F91" s="3">
        <v>8.0</v>
      </c>
      <c r="G91" s="3">
        <v>5.0</v>
      </c>
      <c r="H91" s="3">
        <v>1.0</v>
      </c>
      <c r="I91" s="11">
        <f t="shared" si="2"/>
        <v>15</v>
      </c>
      <c r="J91" s="3">
        <v>100.0</v>
      </c>
      <c r="K91" s="33" t="s">
        <v>178</v>
      </c>
    </row>
    <row r="92" ht="15.75" customHeight="1">
      <c r="A92" s="3">
        <v>1.0</v>
      </c>
      <c r="B92" s="10" t="s">
        <v>12</v>
      </c>
      <c r="C92" s="10" t="s">
        <v>13</v>
      </c>
      <c r="D92" s="10" t="s">
        <v>14</v>
      </c>
      <c r="E92" s="3">
        <v>8.0</v>
      </c>
      <c r="F92" s="3">
        <v>8.0</v>
      </c>
      <c r="G92" s="3">
        <v>1.0</v>
      </c>
      <c r="H92" s="3">
        <v>-1.0</v>
      </c>
      <c r="I92" s="11">
        <f t="shared" si="2"/>
        <v>16</v>
      </c>
      <c r="J92" s="3">
        <v>100.0</v>
      </c>
    </row>
    <row r="93" ht="15.75" customHeight="1">
      <c r="A93" s="3">
        <v>3.0</v>
      </c>
      <c r="B93" s="10" t="s">
        <v>46</v>
      </c>
      <c r="C93" s="10" t="s">
        <v>13</v>
      </c>
      <c r="D93" s="10" t="s">
        <v>14</v>
      </c>
      <c r="E93" s="3">
        <v>5.0</v>
      </c>
      <c r="F93" s="3">
        <v>5.0</v>
      </c>
      <c r="G93" s="3">
        <v>3.0</v>
      </c>
      <c r="H93" s="3">
        <v>1.0</v>
      </c>
      <c r="I93" s="11">
        <f t="shared" si="2"/>
        <v>10</v>
      </c>
      <c r="J93" s="3">
        <v>50.0</v>
      </c>
      <c r="L93" s="33" t="s">
        <v>177</v>
      </c>
    </row>
    <row r="94" ht="15.75" customHeight="1">
      <c r="A94" s="3">
        <v>4.0</v>
      </c>
      <c r="B94" s="10" t="s">
        <v>16</v>
      </c>
      <c r="C94" s="10" t="s">
        <v>13</v>
      </c>
      <c r="D94" s="10" t="s">
        <v>14</v>
      </c>
      <c r="E94" s="3">
        <v>8.0</v>
      </c>
      <c r="F94" s="3">
        <v>6.0</v>
      </c>
      <c r="G94" s="3">
        <v>1.0</v>
      </c>
      <c r="H94" s="3">
        <v>-1.0</v>
      </c>
      <c r="I94" s="11">
        <f t="shared" si="2"/>
        <v>14</v>
      </c>
      <c r="J94" s="3">
        <v>80.0</v>
      </c>
    </row>
    <row r="95" ht="15.75" customHeight="1">
      <c r="A95" s="3">
        <v>7.0</v>
      </c>
      <c r="B95" s="10" t="s">
        <v>47</v>
      </c>
      <c r="C95" s="10" t="s">
        <v>13</v>
      </c>
      <c r="D95" s="10" t="s">
        <v>14</v>
      </c>
      <c r="E95" s="3">
        <v>3.0</v>
      </c>
      <c r="F95" s="3">
        <v>3.0</v>
      </c>
      <c r="G95" s="3">
        <v>3.0</v>
      </c>
      <c r="H95" s="3">
        <v>-1.0</v>
      </c>
      <c r="I95" s="11">
        <f t="shared" si="2"/>
        <v>6</v>
      </c>
      <c r="J95" s="3">
        <v>30.0</v>
      </c>
    </row>
    <row r="96" ht="15.75" customHeight="1">
      <c r="A96" s="3">
        <v>8.0</v>
      </c>
      <c r="B96" s="10" t="s">
        <v>80</v>
      </c>
      <c r="C96" s="10" t="s">
        <v>13</v>
      </c>
      <c r="D96" s="10" t="s">
        <v>14</v>
      </c>
      <c r="E96" s="3">
        <v>7.0</v>
      </c>
      <c r="F96" s="3">
        <v>7.0</v>
      </c>
      <c r="G96" s="3">
        <v>4.0</v>
      </c>
      <c r="H96" s="3">
        <v>1.0</v>
      </c>
      <c r="I96" s="11">
        <f t="shared" si="2"/>
        <v>14</v>
      </c>
      <c r="J96" s="3">
        <v>80.0</v>
      </c>
    </row>
    <row r="97" ht="15.75" customHeight="1">
      <c r="A97" s="3">
        <v>9.0</v>
      </c>
      <c r="B97" s="10" t="s">
        <v>25</v>
      </c>
      <c r="C97" s="10" t="s">
        <v>13</v>
      </c>
      <c r="D97" s="10" t="s">
        <v>14</v>
      </c>
      <c r="E97" s="3">
        <v>4.0</v>
      </c>
      <c r="F97" s="3">
        <v>5.0</v>
      </c>
      <c r="G97" s="3">
        <v>2.0</v>
      </c>
      <c r="H97" s="3">
        <v>-1.0</v>
      </c>
      <c r="I97" s="11">
        <f t="shared" si="2"/>
        <v>9</v>
      </c>
      <c r="J97" s="3">
        <v>50.0</v>
      </c>
    </row>
    <row r="98" ht="15.75" customHeight="1">
      <c r="A98" s="3">
        <v>11.0</v>
      </c>
      <c r="B98" s="10" t="s">
        <v>113</v>
      </c>
      <c r="C98" s="10" t="s">
        <v>11</v>
      </c>
      <c r="D98" s="10" t="s">
        <v>14</v>
      </c>
      <c r="E98" s="3">
        <v>7.0</v>
      </c>
      <c r="F98" s="3">
        <v>7.0</v>
      </c>
      <c r="G98" s="3">
        <v>5.0</v>
      </c>
      <c r="H98" s="3">
        <v>-1.0</v>
      </c>
      <c r="I98" s="11">
        <f t="shared" si="2"/>
        <v>14</v>
      </c>
      <c r="J98" s="3">
        <v>80.0</v>
      </c>
      <c r="L98" s="33">
        <v>115.0</v>
      </c>
    </row>
    <row r="99" ht="15.75" customHeight="1">
      <c r="A99" s="3">
        <v>15.0</v>
      </c>
      <c r="B99" s="10" t="s">
        <v>115</v>
      </c>
      <c r="C99" s="10" t="s">
        <v>13</v>
      </c>
      <c r="D99" s="10" t="s">
        <v>14</v>
      </c>
      <c r="E99" s="3">
        <v>7.0</v>
      </c>
      <c r="F99" s="3">
        <v>7.0</v>
      </c>
      <c r="G99" s="3">
        <v>5.0</v>
      </c>
      <c r="H99" s="3">
        <v>1.0</v>
      </c>
      <c r="I99" s="11">
        <f t="shared" si="2"/>
        <v>14</v>
      </c>
      <c r="J99" s="3">
        <v>80.0</v>
      </c>
    </row>
    <row r="100" ht="15.75" customHeight="1">
      <c r="A100" s="3">
        <v>18.0</v>
      </c>
      <c r="B100" s="10" t="s">
        <v>145</v>
      </c>
      <c r="C100" s="10" t="s">
        <v>11</v>
      </c>
      <c r="D100" s="10" t="s">
        <v>14</v>
      </c>
      <c r="E100" s="3">
        <v>8.0</v>
      </c>
      <c r="F100" s="3">
        <v>8.0</v>
      </c>
      <c r="G100" s="3">
        <v>6.0</v>
      </c>
      <c r="H100" s="3">
        <v>-1.0</v>
      </c>
      <c r="I100" s="11">
        <f t="shared" si="2"/>
        <v>16</v>
      </c>
      <c r="J100" s="3">
        <v>100.0</v>
      </c>
    </row>
    <row r="101" ht="15.75" customHeight="1">
      <c r="A101" s="3">
        <v>21.0</v>
      </c>
      <c r="B101" s="10" t="s">
        <v>81</v>
      </c>
      <c r="C101" s="10" t="s">
        <v>11</v>
      </c>
      <c r="D101" s="10" t="s">
        <v>14</v>
      </c>
      <c r="E101" s="3">
        <v>5.0</v>
      </c>
      <c r="F101" s="3">
        <v>5.0</v>
      </c>
      <c r="G101" s="3">
        <v>4.0</v>
      </c>
      <c r="H101" s="3">
        <v>1.0</v>
      </c>
      <c r="I101" s="11">
        <f t="shared" si="2"/>
        <v>10</v>
      </c>
      <c r="J101" s="3">
        <v>60.0</v>
      </c>
    </row>
    <row r="102" ht="15.75" customHeight="1">
      <c r="A102" s="3">
        <v>22.0</v>
      </c>
      <c r="B102" s="10" t="s">
        <v>146</v>
      </c>
      <c r="C102" s="10" t="s">
        <v>11</v>
      </c>
      <c r="D102" s="10" t="s">
        <v>14</v>
      </c>
      <c r="E102" s="3">
        <v>9.0</v>
      </c>
      <c r="F102" s="3">
        <v>6.0</v>
      </c>
      <c r="G102" s="3">
        <v>6.0</v>
      </c>
      <c r="H102" s="3">
        <v>1.0</v>
      </c>
      <c r="I102" s="11">
        <f t="shared" si="2"/>
        <v>15</v>
      </c>
      <c r="J102" s="3">
        <v>80.0</v>
      </c>
    </row>
    <row r="103" ht="15.75" customHeight="1">
      <c r="A103" s="3">
        <v>24.0</v>
      </c>
      <c r="B103" s="10" t="s">
        <v>27</v>
      </c>
      <c r="C103" s="10" t="s">
        <v>13</v>
      </c>
      <c r="D103" s="10" t="s">
        <v>14</v>
      </c>
      <c r="E103" s="3">
        <v>6.0</v>
      </c>
      <c r="F103" s="3">
        <v>6.0</v>
      </c>
      <c r="G103" s="3">
        <v>2.0</v>
      </c>
      <c r="H103" s="3">
        <v>1.0</v>
      </c>
      <c r="I103" s="11">
        <f t="shared" si="2"/>
        <v>12</v>
      </c>
      <c r="J103" s="3">
        <v>80.0</v>
      </c>
    </row>
    <row r="104" ht="15.75" customHeight="1">
      <c r="A104" s="3">
        <v>25.0</v>
      </c>
      <c r="B104" s="10" t="s">
        <v>28</v>
      </c>
      <c r="C104" s="10" t="s">
        <v>13</v>
      </c>
      <c r="D104" s="10" t="s">
        <v>14</v>
      </c>
      <c r="E104" s="3">
        <v>5.0</v>
      </c>
      <c r="F104" s="3">
        <v>5.0</v>
      </c>
      <c r="G104" s="3">
        <v>2.0</v>
      </c>
      <c r="H104" s="3">
        <v>1.0</v>
      </c>
      <c r="I104" s="11">
        <f t="shared" si="2"/>
        <v>10</v>
      </c>
      <c r="J104" s="3">
        <v>60.0</v>
      </c>
    </row>
    <row r="105" ht="15.75" customHeight="1">
      <c r="A105" s="3">
        <v>29.0</v>
      </c>
      <c r="B105" s="10" t="s">
        <v>75</v>
      </c>
      <c r="C105" s="10" t="s">
        <v>13</v>
      </c>
      <c r="D105" s="10" t="s">
        <v>11</v>
      </c>
      <c r="E105" s="3">
        <v>3.0</v>
      </c>
      <c r="F105" s="3">
        <v>3.0</v>
      </c>
      <c r="G105" s="3">
        <v>4.0</v>
      </c>
      <c r="H105" s="3">
        <v>1.0</v>
      </c>
      <c r="I105" s="11">
        <f t="shared" si="2"/>
        <v>6</v>
      </c>
      <c r="J105" s="3">
        <v>30.0</v>
      </c>
    </row>
    <row r="106" ht="15.75" customHeight="1">
      <c r="A106" s="3">
        <v>32.0</v>
      </c>
      <c r="B106" s="10" t="s">
        <v>83</v>
      </c>
      <c r="C106" s="10" t="s">
        <v>13</v>
      </c>
      <c r="D106" s="10" t="s">
        <v>14</v>
      </c>
      <c r="E106" s="3">
        <v>5.0</v>
      </c>
      <c r="F106" s="3">
        <v>6.0</v>
      </c>
      <c r="G106" s="3">
        <v>4.0</v>
      </c>
      <c r="H106" s="3">
        <v>-1.0</v>
      </c>
      <c r="I106" s="11">
        <f t="shared" si="2"/>
        <v>11</v>
      </c>
      <c r="J106" s="3">
        <v>60.0</v>
      </c>
    </row>
    <row r="107" ht="15.75" customHeight="1">
      <c r="A107" s="3">
        <v>34.0</v>
      </c>
      <c r="B107" s="10" t="s">
        <v>51</v>
      </c>
      <c r="C107" s="10" t="s">
        <v>11</v>
      </c>
      <c r="D107" s="10" t="s">
        <v>14</v>
      </c>
      <c r="E107" s="3">
        <v>7.0</v>
      </c>
      <c r="F107" s="3">
        <v>5.0</v>
      </c>
      <c r="G107" s="3">
        <v>3.0</v>
      </c>
      <c r="H107" s="3">
        <v>1.0</v>
      </c>
      <c r="I107" s="11">
        <f t="shared" si="2"/>
        <v>12</v>
      </c>
      <c r="J107" s="3">
        <v>80.0</v>
      </c>
    </row>
    <row r="108" ht="15.75" customHeight="1">
      <c r="A108" s="3">
        <v>36.0</v>
      </c>
      <c r="B108" s="10" t="s">
        <v>149</v>
      </c>
      <c r="C108" s="10" t="s">
        <v>11</v>
      </c>
      <c r="D108" s="10" t="s">
        <v>14</v>
      </c>
      <c r="E108" s="3">
        <v>6.0</v>
      </c>
      <c r="F108" s="3">
        <v>6.0</v>
      </c>
      <c r="G108" s="3">
        <v>6.0</v>
      </c>
      <c r="H108" s="3">
        <v>1.0</v>
      </c>
      <c r="I108" s="11">
        <f t="shared" si="2"/>
        <v>12</v>
      </c>
      <c r="J108" s="3">
        <v>60.0</v>
      </c>
    </row>
    <row r="109" ht="15.75" customHeight="1">
      <c r="A109" s="3">
        <v>39.0</v>
      </c>
      <c r="B109" s="10" t="s">
        <v>52</v>
      </c>
      <c r="C109" s="10" t="s">
        <v>13</v>
      </c>
      <c r="D109" s="10" t="s">
        <v>14</v>
      </c>
      <c r="E109" s="3">
        <v>6.0</v>
      </c>
      <c r="F109" s="3">
        <v>6.0</v>
      </c>
      <c r="G109" s="3">
        <v>3.0</v>
      </c>
      <c r="H109" s="3">
        <v>-1.0</v>
      </c>
      <c r="I109" s="11">
        <f t="shared" si="2"/>
        <v>12</v>
      </c>
      <c r="J109" s="3">
        <v>60.0</v>
      </c>
    </row>
    <row r="110" ht="15.75" customHeight="1">
      <c r="A110" s="3">
        <v>40.0</v>
      </c>
      <c r="B110" s="10" t="s">
        <v>53</v>
      </c>
      <c r="C110" s="10" t="s">
        <v>13</v>
      </c>
      <c r="D110" s="10" t="s">
        <v>14</v>
      </c>
      <c r="E110" s="3">
        <v>6.0</v>
      </c>
      <c r="F110" s="3">
        <v>5.0</v>
      </c>
      <c r="G110" s="3">
        <v>3.0</v>
      </c>
      <c r="H110" s="3">
        <v>-1.0</v>
      </c>
      <c r="I110" s="11">
        <f t="shared" si="2"/>
        <v>11</v>
      </c>
      <c r="J110" s="3">
        <v>60.0</v>
      </c>
    </row>
    <row r="111" ht="15.75" customHeight="1">
      <c r="A111" s="3">
        <v>42.0</v>
      </c>
      <c r="B111" s="10" t="s">
        <v>163</v>
      </c>
      <c r="C111" s="10" t="s">
        <v>11</v>
      </c>
      <c r="D111" s="10" t="s">
        <v>14</v>
      </c>
      <c r="E111" s="3">
        <v>8.0</v>
      </c>
      <c r="F111" s="3">
        <v>5.0</v>
      </c>
      <c r="G111" s="3">
        <v>7.0</v>
      </c>
      <c r="H111" s="3">
        <v>1.0</v>
      </c>
      <c r="I111" s="11">
        <f t="shared" si="2"/>
        <v>13</v>
      </c>
      <c r="J111" s="3">
        <v>60.0</v>
      </c>
    </row>
    <row r="112" ht="15.75" customHeight="1">
      <c r="A112" s="3">
        <v>46.0</v>
      </c>
      <c r="B112" s="10" t="s">
        <v>29</v>
      </c>
      <c r="C112" s="10" t="s">
        <v>11</v>
      </c>
      <c r="D112" s="10" t="s">
        <v>14</v>
      </c>
      <c r="E112" s="3">
        <v>6.0</v>
      </c>
      <c r="F112" s="3">
        <v>7.0</v>
      </c>
      <c r="G112" s="3">
        <v>2.0</v>
      </c>
      <c r="H112" s="3">
        <v>-1.0</v>
      </c>
      <c r="I112" s="11">
        <f t="shared" si="2"/>
        <v>13</v>
      </c>
      <c r="J112" s="3">
        <v>60.0</v>
      </c>
    </row>
    <row r="113" ht="15.75" customHeight="1">
      <c r="A113" s="3">
        <v>48.0</v>
      </c>
      <c r="B113" s="10" t="s">
        <v>118</v>
      </c>
      <c r="C113" s="10" t="s">
        <v>11</v>
      </c>
      <c r="D113" s="10" t="s">
        <v>14</v>
      </c>
      <c r="E113" s="3">
        <v>8.0</v>
      </c>
      <c r="F113" s="3">
        <v>8.0</v>
      </c>
      <c r="G113" s="3">
        <v>5.0</v>
      </c>
      <c r="H113" s="3">
        <v>-1.0</v>
      </c>
      <c r="I113" s="11">
        <f t="shared" si="2"/>
        <v>16</v>
      </c>
      <c r="J113" s="3">
        <v>100.0</v>
      </c>
    </row>
    <row r="114" ht="15.75" customHeight="1">
      <c r="A114" s="3">
        <v>53.0</v>
      </c>
      <c r="B114" s="10" t="s">
        <v>85</v>
      </c>
      <c r="C114" s="10" t="s">
        <v>11</v>
      </c>
      <c r="D114" s="10" t="s">
        <v>14</v>
      </c>
      <c r="E114" s="3">
        <v>7.0</v>
      </c>
      <c r="F114" s="3">
        <v>6.0</v>
      </c>
      <c r="G114" s="3">
        <v>4.0</v>
      </c>
      <c r="H114" s="3">
        <v>-1.0</v>
      </c>
      <c r="I114" s="11">
        <f t="shared" si="2"/>
        <v>13</v>
      </c>
      <c r="J114" s="3">
        <v>80.0</v>
      </c>
    </row>
    <row r="115" ht="15.75" customHeight="1">
      <c r="A115" s="3">
        <v>55.0</v>
      </c>
      <c r="B115" s="10" t="s">
        <v>122</v>
      </c>
      <c r="C115" s="10" t="s">
        <v>11</v>
      </c>
      <c r="D115" s="10" t="s">
        <v>14</v>
      </c>
      <c r="E115" s="3">
        <v>7.0</v>
      </c>
      <c r="F115" s="3">
        <v>5.0</v>
      </c>
      <c r="G115" s="3">
        <v>5.0</v>
      </c>
      <c r="H115" s="3">
        <v>1.0</v>
      </c>
      <c r="I115" s="11">
        <f t="shared" si="2"/>
        <v>12</v>
      </c>
      <c r="J115" s="3">
        <v>80.0</v>
      </c>
    </row>
    <row r="116" ht="15.75" customHeight="1">
      <c r="A116" s="3">
        <v>56.0</v>
      </c>
      <c r="B116" s="10" t="s">
        <v>76</v>
      </c>
      <c r="C116" s="10" t="s">
        <v>11</v>
      </c>
      <c r="D116" s="10" t="s">
        <v>11</v>
      </c>
      <c r="E116" s="3">
        <v>1.0</v>
      </c>
      <c r="F116" s="3">
        <v>2.0</v>
      </c>
      <c r="G116" s="3">
        <v>4.0</v>
      </c>
      <c r="H116" s="3">
        <v>1.0</v>
      </c>
      <c r="I116" s="11">
        <f t="shared" si="2"/>
        <v>3</v>
      </c>
      <c r="J116" s="3">
        <v>30.0</v>
      </c>
    </row>
    <row r="117" ht="15.75" customHeight="1">
      <c r="A117" s="3">
        <v>60.0</v>
      </c>
      <c r="B117" s="10" t="s">
        <v>151</v>
      </c>
      <c r="C117" s="10" t="s">
        <v>11</v>
      </c>
      <c r="D117" s="10" t="s">
        <v>14</v>
      </c>
      <c r="E117" s="3">
        <v>8.0</v>
      </c>
      <c r="F117" s="3">
        <v>7.0</v>
      </c>
      <c r="G117" s="3">
        <v>6.0</v>
      </c>
      <c r="H117" s="3">
        <v>-1.0</v>
      </c>
      <c r="I117" s="11">
        <f t="shared" si="2"/>
        <v>15</v>
      </c>
      <c r="J117" s="3">
        <v>80.0</v>
      </c>
    </row>
    <row r="118" ht="15.75" customHeight="1">
      <c r="A118" s="3">
        <v>61.0</v>
      </c>
      <c r="B118" s="10" t="s">
        <v>31</v>
      </c>
      <c r="C118" s="10" t="s">
        <v>11</v>
      </c>
      <c r="D118" s="10" t="s">
        <v>14</v>
      </c>
      <c r="E118" s="3">
        <v>6.0</v>
      </c>
      <c r="F118" s="3">
        <v>6.0</v>
      </c>
      <c r="G118" s="3">
        <v>2.0</v>
      </c>
      <c r="H118" s="3">
        <v>1.0</v>
      </c>
      <c r="I118" s="11">
        <f t="shared" si="2"/>
        <v>12</v>
      </c>
      <c r="J118" s="3">
        <v>60.0</v>
      </c>
    </row>
    <row r="119" ht="15.75" customHeight="1">
      <c r="A119" s="3">
        <v>62.0</v>
      </c>
      <c r="B119" s="10" t="s">
        <v>32</v>
      </c>
      <c r="C119" s="10" t="s">
        <v>13</v>
      </c>
      <c r="D119" s="10" t="s">
        <v>14</v>
      </c>
      <c r="E119" s="3">
        <v>8.0</v>
      </c>
      <c r="F119" s="3">
        <v>7.0</v>
      </c>
      <c r="G119" s="3">
        <v>2.0</v>
      </c>
      <c r="H119" s="3">
        <v>-1.0</v>
      </c>
      <c r="I119" s="11">
        <f t="shared" si="2"/>
        <v>15</v>
      </c>
      <c r="J119" s="3">
        <v>80.0</v>
      </c>
    </row>
    <row r="120" ht="15.75" customHeight="1">
      <c r="A120" s="3">
        <v>71.0</v>
      </c>
      <c r="B120" s="10" t="s">
        <v>142</v>
      </c>
      <c r="C120" s="10" t="s">
        <v>13</v>
      </c>
      <c r="D120" s="10" t="s">
        <v>11</v>
      </c>
      <c r="E120" s="3">
        <v>9.0</v>
      </c>
      <c r="F120" s="3">
        <v>8.0</v>
      </c>
      <c r="G120" s="3">
        <v>6.0</v>
      </c>
      <c r="H120" s="3">
        <v>1.0</v>
      </c>
      <c r="I120" s="11">
        <f t="shared" si="2"/>
        <v>17</v>
      </c>
      <c r="J120" s="3">
        <v>120.0</v>
      </c>
    </row>
    <row r="121" ht="15.75" customHeight="1">
      <c r="A121" s="3">
        <v>73.0</v>
      </c>
      <c r="B121" s="10" t="s">
        <v>35</v>
      </c>
      <c r="C121" s="10" t="s">
        <v>11</v>
      </c>
      <c r="D121" s="10" t="s">
        <v>14</v>
      </c>
      <c r="E121" s="3">
        <v>4.0</v>
      </c>
      <c r="F121" s="3">
        <v>4.0</v>
      </c>
      <c r="G121" s="3">
        <v>2.0</v>
      </c>
      <c r="H121" s="3">
        <v>1.0</v>
      </c>
      <c r="I121" s="11">
        <f t="shared" si="2"/>
        <v>8</v>
      </c>
      <c r="J121" s="3">
        <v>40.0</v>
      </c>
    </row>
    <row r="122" ht="15.75" customHeight="1">
      <c r="A122" s="3">
        <v>74.0</v>
      </c>
      <c r="B122" s="10" t="s">
        <v>90</v>
      </c>
      <c r="C122" s="10" t="s">
        <v>13</v>
      </c>
      <c r="D122" s="10" t="s">
        <v>14</v>
      </c>
      <c r="E122" s="3">
        <v>9.0</v>
      </c>
      <c r="F122" s="3">
        <v>6.0</v>
      </c>
      <c r="G122" s="3">
        <v>4.0</v>
      </c>
      <c r="H122" s="3">
        <v>-1.0</v>
      </c>
      <c r="I122" s="11">
        <f t="shared" si="2"/>
        <v>15</v>
      </c>
      <c r="J122" s="3">
        <v>100.0</v>
      </c>
    </row>
    <row r="123" ht="15.75" customHeight="1">
      <c r="A123" s="3">
        <v>75.0</v>
      </c>
      <c r="B123" s="10" t="s">
        <v>59</v>
      </c>
      <c r="C123" s="10" t="s">
        <v>13</v>
      </c>
      <c r="D123" s="10" t="s">
        <v>14</v>
      </c>
      <c r="E123" s="3">
        <v>6.0</v>
      </c>
      <c r="F123" s="3">
        <v>5.0</v>
      </c>
      <c r="G123" s="3">
        <v>3.0</v>
      </c>
      <c r="H123" s="3">
        <v>-1.0</v>
      </c>
      <c r="I123" s="11">
        <f t="shared" si="2"/>
        <v>11</v>
      </c>
      <c r="J123" s="3">
        <v>60.0</v>
      </c>
    </row>
    <row r="124" ht="15.75" customHeight="1">
      <c r="A124" s="3">
        <v>76.0</v>
      </c>
      <c r="B124" s="10" t="s">
        <v>60</v>
      </c>
      <c r="C124" s="10" t="s">
        <v>13</v>
      </c>
      <c r="D124" s="10" t="s">
        <v>14</v>
      </c>
      <c r="E124" s="3">
        <v>3.0</v>
      </c>
      <c r="F124" s="3">
        <v>3.0</v>
      </c>
      <c r="G124" s="3">
        <v>3.0</v>
      </c>
      <c r="H124" s="3">
        <v>1.0</v>
      </c>
      <c r="I124" s="11">
        <f t="shared" si="2"/>
        <v>6</v>
      </c>
      <c r="J124" s="3">
        <v>30.0</v>
      </c>
    </row>
    <row r="125" ht="15.75" customHeight="1">
      <c r="A125" s="3">
        <v>78.0</v>
      </c>
      <c r="B125" s="10" t="s">
        <v>91</v>
      </c>
      <c r="C125" s="10" t="s">
        <v>13</v>
      </c>
      <c r="D125" s="10" t="s">
        <v>14</v>
      </c>
      <c r="E125" s="3">
        <v>7.0</v>
      </c>
      <c r="F125" s="3">
        <v>8.0</v>
      </c>
      <c r="G125" s="3">
        <v>4.0</v>
      </c>
      <c r="H125" s="3">
        <v>1.0</v>
      </c>
      <c r="I125" s="11">
        <f t="shared" si="2"/>
        <v>15</v>
      </c>
      <c r="J125" s="3">
        <v>80.0</v>
      </c>
    </row>
    <row r="126" ht="15.75" customHeight="1">
      <c r="A126" s="3">
        <v>79.0</v>
      </c>
      <c r="B126" s="10" t="s">
        <v>124</v>
      </c>
      <c r="C126" s="10" t="s">
        <v>11</v>
      </c>
      <c r="D126" s="10" t="s">
        <v>14</v>
      </c>
      <c r="E126" s="3">
        <v>5.0</v>
      </c>
      <c r="F126" s="3">
        <v>6.0</v>
      </c>
      <c r="G126" s="3">
        <v>5.0</v>
      </c>
      <c r="H126" s="3">
        <v>1.0</v>
      </c>
      <c r="I126" s="11">
        <f t="shared" si="2"/>
        <v>11</v>
      </c>
      <c r="J126" s="3">
        <v>60.0</v>
      </c>
    </row>
    <row r="127" ht="15.75" customHeight="1">
      <c r="A127" s="3">
        <v>82.0</v>
      </c>
      <c r="B127" s="10" t="s">
        <v>61</v>
      </c>
      <c r="C127" s="10" t="s">
        <v>11</v>
      </c>
      <c r="D127" s="10" t="s">
        <v>14</v>
      </c>
      <c r="E127" s="3">
        <v>6.0</v>
      </c>
      <c r="F127" s="3">
        <v>8.0</v>
      </c>
      <c r="G127" s="3">
        <v>3.0</v>
      </c>
      <c r="H127" s="3">
        <v>-1.0</v>
      </c>
      <c r="I127" s="11">
        <f t="shared" si="2"/>
        <v>14</v>
      </c>
      <c r="J127" s="3">
        <v>80.0</v>
      </c>
    </row>
    <row r="128" ht="15.75" customHeight="1">
      <c r="A128" s="3">
        <v>92.0</v>
      </c>
      <c r="B128" s="10" t="s">
        <v>154</v>
      </c>
      <c r="C128" s="10" t="s">
        <v>11</v>
      </c>
      <c r="D128" s="10" t="s">
        <v>14</v>
      </c>
      <c r="E128" s="3">
        <v>4.0</v>
      </c>
      <c r="F128" s="3">
        <v>5.0</v>
      </c>
      <c r="G128" s="3">
        <v>6.0</v>
      </c>
      <c r="H128" s="3">
        <v>1.0</v>
      </c>
      <c r="I128" s="11">
        <f t="shared" si="2"/>
        <v>9</v>
      </c>
      <c r="J128" s="3">
        <v>40.0</v>
      </c>
    </row>
    <row r="129" ht="15.75" customHeight="1">
      <c r="A129" s="3">
        <v>93.0</v>
      </c>
      <c r="B129" s="10" t="s">
        <v>19</v>
      </c>
      <c r="C129" s="10" t="s">
        <v>13</v>
      </c>
      <c r="D129" s="10" t="s">
        <v>14</v>
      </c>
      <c r="E129" s="3">
        <v>6.0</v>
      </c>
      <c r="F129" s="3">
        <v>5.0</v>
      </c>
      <c r="G129" s="3">
        <v>1.0</v>
      </c>
      <c r="H129" s="3">
        <v>-1.0</v>
      </c>
      <c r="I129" s="11">
        <f t="shared" si="2"/>
        <v>11</v>
      </c>
      <c r="J129" s="3">
        <v>60.0</v>
      </c>
      <c r="L129" s="33">
        <v>130.0</v>
      </c>
    </row>
    <row r="130" ht="15.75" customHeight="1">
      <c r="A130" s="3">
        <v>96.0</v>
      </c>
      <c r="B130" s="10" t="s">
        <v>155</v>
      </c>
      <c r="C130" s="10" t="s">
        <v>11</v>
      </c>
      <c r="D130" s="10" t="s">
        <v>14</v>
      </c>
      <c r="E130" s="3">
        <v>7.0</v>
      </c>
      <c r="F130" s="3">
        <v>5.0</v>
      </c>
      <c r="G130" s="3">
        <v>6.0</v>
      </c>
      <c r="H130" s="3">
        <v>1.0</v>
      </c>
      <c r="I130" s="11">
        <f t="shared" si="2"/>
        <v>12</v>
      </c>
      <c r="J130" s="3">
        <v>60.0</v>
      </c>
    </row>
    <row r="131" ht="15.75" customHeight="1">
      <c r="A131" s="3">
        <v>97.0</v>
      </c>
      <c r="B131" s="10" t="s">
        <v>95</v>
      </c>
      <c r="C131" s="10" t="s">
        <v>13</v>
      </c>
      <c r="D131" s="10" t="s">
        <v>14</v>
      </c>
      <c r="E131" s="3">
        <v>5.0</v>
      </c>
      <c r="F131" s="3">
        <v>5.0</v>
      </c>
      <c r="G131" s="3">
        <v>4.0</v>
      </c>
      <c r="H131" s="3">
        <v>-1.0</v>
      </c>
      <c r="I131" s="11">
        <f t="shared" si="2"/>
        <v>10</v>
      </c>
      <c r="J131" s="3">
        <v>60.0</v>
      </c>
    </row>
    <row r="132" ht="17.25" customHeight="1">
      <c r="A132" s="3">
        <v>99.0</v>
      </c>
      <c r="B132" s="10" t="s">
        <v>157</v>
      </c>
      <c r="C132" s="10" t="s">
        <v>11</v>
      </c>
      <c r="D132" s="10" t="s">
        <v>14</v>
      </c>
      <c r="E132" s="3">
        <v>9.0</v>
      </c>
      <c r="F132" s="3">
        <v>8.0</v>
      </c>
      <c r="G132" s="3">
        <v>6.0</v>
      </c>
      <c r="H132" s="3">
        <v>1.0</v>
      </c>
      <c r="I132" s="11">
        <f t="shared" si="2"/>
        <v>17</v>
      </c>
      <c r="J132" s="3">
        <v>100.0</v>
      </c>
    </row>
    <row r="133" ht="15.75" customHeight="1">
      <c r="A133" s="3">
        <v>100.0</v>
      </c>
      <c r="B133" s="10" t="s">
        <v>96</v>
      </c>
      <c r="C133" s="10" t="s">
        <v>11</v>
      </c>
      <c r="D133" s="10" t="s">
        <v>14</v>
      </c>
      <c r="E133" s="3">
        <v>7.0</v>
      </c>
      <c r="F133" s="3">
        <v>7.0</v>
      </c>
      <c r="G133" s="3">
        <v>4.0</v>
      </c>
      <c r="H133" s="3">
        <v>1.0</v>
      </c>
      <c r="I133" s="11">
        <f t="shared" si="2"/>
        <v>14</v>
      </c>
      <c r="J133" s="3">
        <v>80.0</v>
      </c>
    </row>
    <row r="134" ht="15.75" customHeight="1">
      <c r="A134" s="3">
        <v>103.0</v>
      </c>
      <c r="B134" s="10" t="s">
        <v>111</v>
      </c>
      <c r="C134" s="10" t="s">
        <v>11</v>
      </c>
      <c r="D134" s="10" t="s">
        <v>11</v>
      </c>
      <c r="E134" s="3">
        <v>4.0</v>
      </c>
      <c r="F134" s="3">
        <v>5.0</v>
      </c>
      <c r="G134" s="3">
        <v>5.0</v>
      </c>
      <c r="H134" s="3">
        <v>-1.0</v>
      </c>
      <c r="I134" s="11">
        <f t="shared" si="2"/>
        <v>9</v>
      </c>
      <c r="J134" s="3">
        <v>50.0</v>
      </c>
    </row>
    <row r="135" ht="15.75" customHeight="1">
      <c r="A135" s="3">
        <v>107.0</v>
      </c>
      <c r="B135" s="10" t="s">
        <v>127</v>
      </c>
      <c r="C135" s="10" t="s">
        <v>11</v>
      </c>
      <c r="D135" s="10" t="s">
        <v>14</v>
      </c>
      <c r="E135" s="3">
        <v>6.0</v>
      </c>
      <c r="F135" s="3">
        <v>4.0</v>
      </c>
      <c r="G135" s="3">
        <v>5.0</v>
      </c>
      <c r="H135" s="3">
        <v>-1.0</v>
      </c>
      <c r="I135" s="11">
        <f t="shared" si="2"/>
        <v>10</v>
      </c>
      <c r="J135" s="3">
        <v>50.0</v>
      </c>
    </row>
    <row r="136" ht="15.75" customHeight="1">
      <c r="A136" s="3">
        <v>109.0</v>
      </c>
      <c r="B136" s="10" t="s">
        <v>98</v>
      </c>
      <c r="C136" s="10" t="s">
        <v>13</v>
      </c>
      <c r="D136" s="10" t="s">
        <v>14</v>
      </c>
      <c r="E136" s="3">
        <v>6.0</v>
      </c>
      <c r="F136" s="3">
        <v>6.0</v>
      </c>
      <c r="G136" s="3">
        <v>4.0</v>
      </c>
      <c r="H136" s="3">
        <v>1.0</v>
      </c>
      <c r="I136" s="11">
        <f t="shared" si="2"/>
        <v>12</v>
      </c>
      <c r="J136" s="3">
        <v>60.0</v>
      </c>
    </row>
    <row r="137" ht="15.75" customHeight="1">
      <c r="A137" s="3">
        <v>110.0</v>
      </c>
      <c r="B137" s="10" t="s">
        <v>65</v>
      </c>
      <c r="C137" s="10" t="s">
        <v>13</v>
      </c>
      <c r="D137" s="10" t="s">
        <v>14</v>
      </c>
      <c r="E137" s="3">
        <v>6.0</v>
      </c>
      <c r="F137" s="3">
        <v>6.0</v>
      </c>
      <c r="G137" s="3">
        <v>3.0</v>
      </c>
      <c r="H137" s="3">
        <v>-1.0</v>
      </c>
      <c r="I137" s="11">
        <f t="shared" si="2"/>
        <v>12</v>
      </c>
      <c r="J137" s="3">
        <v>60.0</v>
      </c>
    </row>
    <row r="138" ht="15.75" customHeight="1">
      <c r="A138" s="3">
        <v>113.0</v>
      </c>
      <c r="B138" s="10" t="s">
        <v>101</v>
      </c>
      <c r="C138" s="10" t="s">
        <v>13</v>
      </c>
      <c r="D138" s="10" t="s">
        <v>14</v>
      </c>
      <c r="E138" s="3">
        <v>5.0</v>
      </c>
      <c r="F138" s="3">
        <v>6.0</v>
      </c>
      <c r="G138" s="3">
        <v>4.0</v>
      </c>
      <c r="H138" s="3">
        <v>1.0</v>
      </c>
      <c r="I138" s="11">
        <f t="shared" si="2"/>
        <v>11</v>
      </c>
      <c r="J138" s="3">
        <v>60.0</v>
      </c>
    </row>
    <row r="139" ht="15.75" customHeight="1">
      <c r="A139" s="3">
        <v>115.0</v>
      </c>
      <c r="B139" s="10" t="s">
        <v>128</v>
      </c>
      <c r="C139" s="10" t="s">
        <v>11</v>
      </c>
      <c r="D139" s="10" t="s">
        <v>14</v>
      </c>
      <c r="E139" s="3">
        <v>5.0</v>
      </c>
      <c r="F139" s="3">
        <v>5.0</v>
      </c>
      <c r="G139" s="3">
        <v>5.0</v>
      </c>
      <c r="H139" s="3">
        <v>1.0</v>
      </c>
      <c r="I139" s="11">
        <f t="shared" si="2"/>
        <v>10</v>
      </c>
      <c r="J139" s="3">
        <v>50.0</v>
      </c>
    </row>
    <row r="140" ht="15.75" customHeight="1">
      <c r="A140" s="3">
        <v>117.0</v>
      </c>
      <c r="B140" s="10" t="s">
        <v>67</v>
      </c>
      <c r="C140" s="10" t="s">
        <v>11</v>
      </c>
      <c r="D140" s="10" t="s">
        <v>14</v>
      </c>
      <c r="E140" s="3">
        <v>7.0</v>
      </c>
      <c r="F140" s="3">
        <v>7.0</v>
      </c>
      <c r="G140" s="3">
        <v>3.0</v>
      </c>
      <c r="H140" s="3">
        <v>-1.0</v>
      </c>
      <c r="I140" s="11">
        <f t="shared" si="2"/>
        <v>14</v>
      </c>
      <c r="J140" s="3">
        <v>80.0</v>
      </c>
    </row>
    <row r="141" ht="15.75" customHeight="1">
      <c r="A141" s="3">
        <v>122.0</v>
      </c>
      <c r="B141" s="10" t="s">
        <v>166</v>
      </c>
      <c r="C141" s="10" t="s">
        <v>11</v>
      </c>
      <c r="D141" s="10" t="s">
        <v>14</v>
      </c>
      <c r="E141" s="3">
        <v>7.0</v>
      </c>
      <c r="F141" s="3">
        <v>8.0</v>
      </c>
      <c r="G141" s="3">
        <v>7.0</v>
      </c>
      <c r="H141" s="3">
        <v>1.0</v>
      </c>
      <c r="I141" s="11">
        <f t="shared" si="2"/>
        <v>15</v>
      </c>
      <c r="J141" s="3">
        <v>80.0</v>
      </c>
    </row>
    <row r="142" ht="15.75" customHeight="1">
      <c r="A142" s="3">
        <v>123.0</v>
      </c>
      <c r="B142" s="10" t="s">
        <v>68</v>
      </c>
      <c r="C142" s="10" t="s">
        <v>13</v>
      </c>
      <c r="D142" s="10" t="s">
        <v>14</v>
      </c>
      <c r="E142" s="3">
        <v>4.0</v>
      </c>
      <c r="F142" s="3">
        <v>5.0</v>
      </c>
      <c r="G142" s="3">
        <v>3.0</v>
      </c>
      <c r="H142" s="3">
        <v>1.0</v>
      </c>
      <c r="I142" s="11">
        <f t="shared" si="2"/>
        <v>9</v>
      </c>
      <c r="J142" s="3">
        <v>50.0</v>
      </c>
    </row>
    <row r="143" ht="15.75" customHeight="1">
      <c r="A143" s="3">
        <v>124.0</v>
      </c>
      <c r="B143" s="10" t="s">
        <v>102</v>
      </c>
      <c r="C143" s="10" t="s">
        <v>11</v>
      </c>
      <c r="D143" s="10" t="s">
        <v>14</v>
      </c>
      <c r="E143" s="3">
        <v>8.0</v>
      </c>
      <c r="F143" s="3">
        <v>8.0</v>
      </c>
      <c r="G143" s="3">
        <v>4.0</v>
      </c>
      <c r="H143" s="3">
        <v>1.0</v>
      </c>
      <c r="I143" s="11">
        <f t="shared" si="2"/>
        <v>16</v>
      </c>
      <c r="J143" s="3">
        <v>100.0</v>
      </c>
    </row>
    <row r="144" ht="15.75" customHeight="1">
      <c r="A144" s="3">
        <v>125.0</v>
      </c>
      <c r="B144" s="10" t="s">
        <v>172</v>
      </c>
      <c r="C144" s="10" t="s">
        <v>11</v>
      </c>
      <c r="D144" s="10" t="s">
        <v>14</v>
      </c>
      <c r="E144" s="3">
        <v>10.0</v>
      </c>
      <c r="F144" s="3">
        <v>10.0</v>
      </c>
      <c r="G144" s="3">
        <v>9.0</v>
      </c>
      <c r="H144" s="3">
        <v>1.0</v>
      </c>
      <c r="I144" s="11">
        <f t="shared" si="2"/>
        <v>20</v>
      </c>
      <c r="J144" s="3">
        <v>120.0</v>
      </c>
    </row>
    <row r="145" ht="15.75" customHeight="1">
      <c r="A145" s="3">
        <v>126.0</v>
      </c>
      <c r="B145" s="10" t="s">
        <v>69</v>
      </c>
      <c r="C145" s="10" t="s">
        <v>13</v>
      </c>
      <c r="D145" s="10" t="s">
        <v>14</v>
      </c>
      <c r="E145" s="3">
        <v>4.0</v>
      </c>
      <c r="F145" s="3">
        <v>4.0</v>
      </c>
      <c r="G145" s="3">
        <v>3.0</v>
      </c>
      <c r="H145" s="3">
        <v>1.0</v>
      </c>
      <c r="I145" s="11">
        <f t="shared" si="2"/>
        <v>8</v>
      </c>
      <c r="J145" s="3">
        <v>50.0</v>
      </c>
    </row>
    <row r="146" ht="15.75" customHeight="1">
      <c r="A146" s="3">
        <v>128.0</v>
      </c>
      <c r="B146" s="10" t="s">
        <v>131</v>
      </c>
      <c r="C146" s="10" t="s">
        <v>13</v>
      </c>
      <c r="D146" s="10" t="s">
        <v>14</v>
      </c>
      <c r="E146" s="3">
        <v>4.0</v>
      </c>
      <c r="F146" s="3">
        <v>4.0</v>
      </c>
      <c r="G146" s="3">
        <v>5.0</v>
      </c>
      <c r="H146" s="3">
        <v>1.0</v>
      </c>
      <c r="I146" s="11">
        <f t="shared" si="2"/>
        <v>8</v>
      </c>
      <c r="J146" s="3">
        <v>40.0</v>
      </c>
    </row>
    <row r="147" ht="15.75" customHeight="1">
      <c r="A147" s="3">
        <v>129.0</v>
      </c>
      <c r="B147" s="10" t="s">
        <v>132</v>
      </c>
      <c r="C147" s="10" t="s">
        <v>11</v>
      </c>
      <c r="D147" s="10" t="s">
        <v>14</v>
      </c>
      <c r="E147" s="3">
        <v>6.0</v>
      </c>
      <c r="F147" s="3">
        <v>5.0</v>
      </c>
      <c r="G147" s="3">
        <v>5.0</v>
      </c>
      <c r="H147" s="3">
        <v>-1.0</v>
      </c>
      <c r="I147" s="11">
        <f t="shared" si="2"/>
        <v>11</v>
      </c>
      <c r="J147" s="3">
        <v>60.0</v>
      </c>
    </row>
    <row r="148" ht="15.75" customHeight="1">
      <c r="A148" s="3">
        <v>132.0</v>
      </c>
      <c r="B148" s="10" t="s">
        <v>78</v>
      </c>
      <c r="C148" s="10" t="s">
        <v>13</v>
      </c>
      <c r="D148" s="10" t="s">
        <v>11</v>
      </c>
      <c r="E148" s="3">
        <v>4.0</v>
      </c>
      <c r="F148" s="3">
        <v>4.0</v>
      </c>
      <c r="G148" s="3">
        <v>4.0</v>
      </c>
      <c r="H148" s="3">
        <v>1.0</v>
      </c>
      <c r="I148" s="11">
        <f t="shared" si="2"/>
        <v>8</v>
      </c>
      <c r="J148" s="3">
        <v>50.0</v>
      </c>
    </row>
    <row r="149" ht="15.75" customHeight="1">
      <c r="A149" s="3">
        <v>133.0</v>
      </c>
      <c r="B149" s="10" t="s">
        <v>167</v>
      </c>
      <c r="C149" s="10" t="s">
        <v>11</v>
      </c>
      <c r="D149" s="10" t="s">
        <v>14</v>
      </c>
      <c r="E149" s="3">
        <v>6.0</v>
      </c>
      <c r="F149" s="3">
        <v>7.0</v>
      </c>
      <c r="G149" s="3">
        <v>7.0</v>
      </c>
      <c r="H149" s="3">
        <v>1.0</v>
      </c>
      <c r="I149" s="11">
        <f t="shared" si="2"/>
        <v>13</v>
      </c>
      <c r="J149" s="3">
        <v>60.0</v>
      </c>
    </row>
    <row r="150" ht="15.75" customHeight="1">
      <c r="A150" s="3">
        <v>136.0</v>
      </c>
      <c r="B150" s="10" t="s">
        <v>133</v>
      </c>
      <c r="C150" s="10" t="s">
        <v>13</v>
      </c>
      <c r="D150" s="10" t="s">
        <v>14</v>
      </c>
      <c r="E150" s="3">
        <v>9.0</v>
      </c>
      <c r="F150" s="3">
        <v>9.0</v>
      </c>
      <c r="G150" s="3">
        <v>5.0</v>
      </c>
      <c r="H150" s="3">
        <v>1.0</v>
      </c>
      <c r="I150" s="11">
        <f t="shared" si="2"/>
        <v>18</v>
      </c>
      <c r="J150" s="3">
        <v>120.0</v>
      </c>
    </row>
    <row r="151" ht="15.75" customHeight="1">
      <c r="A151" s="3">
        <v>138.0</v>
      </c>
      <c r="B151" s="10" t="s">
        <v>134</v>
      </c>
      <c r="C151" s="10" t="s">
        <v>13</v>
      </c>
      <c r="D151" s="10" t="s">
        <v>14</v>
      </c>
      <c r="E151" s="3">
        <v>6.0</v>
      </c>
      <c r="F151" s="3">
        <v>6.0</v>
      </c>
      <c r="G151" s="3">
        <v>5.0</v>
      </c>
      <c r="H151" s="3">
        <v>-1.0</v>
      </c>
      <c r="I151" s="11">
        <f t="shared" si="2"/>
        <v>12</v>
      </c>
      <c r="J151" s="3">
        <v>60.0</v>
      </c>
    </row>
    <row r="152" ht="15.75" customHeight="1">
      <c r="A152" s="3">
        <v>144.0</v>
      </c>
      <c r="B152" s="10" t="s">
        <v>158</v>
      </c>
      <c r="C152" s="10" t="s">
        <v>11</v>
      </c>
      <c r="D152" s="10" t="s">
        <v>14</v>
      </c>
      <c r="E152" s="3">
        <v>6.0</v>
      </c>
      <c r="F152" s="3">
        <v>5.0</v>
      </c>
      <c r="G152" s="3">
        <v>6.0</v>
      </c>
      <c r="H152" s="3">
        <v>1.0</v>
      </c>
      <c r="I152" s="11">
        <f t="shared" si="2"/>
        <v>11</v>
      </c>
      <c r="J152" s="3">
        <v>60.0</v>
      </c>
    </row>
    <row r="153" ht="15.75" customHeight="1">
      <c r="A153" s="3">
        <v>145.0</v>
      </c>
      <c r="B153" s="10" t="s">
        <v>159</v>
      </c>
      <c r="C153" s="10" t="s">
        <v>11</v>
      </c>
      <c r="D153" s="10" t="s">
        <v>14</v>
      </c>
      <c r="E153" s="3">
        <v>6.0</v>
      </c>
      <c r="F153" s="3">
        <v>5.0</v>
      </c>
      <c r="G153" s="3">
        <v>6.0</v>
      </c>
      <c r="H153" s="3">
        <v>1.0</v>
      </c>
      <c r="I153" s="11">
        <f t="shared" si="2"/>
        <v>11</v>
      </c>
      <c r="J153" s="3">
        <v>60.0</v>
      </c>
    </row>
    <row r="154" ht="15.75" customHeight="1">
      <c r="A154" s="3">
        <v>147.0</v>
      </c>
      <c r="B154" s="10" t="s">
        <v>160</v>
      </c>
      <c r="C154" s="10" t="s">
        <v>11</v>
      </c>
      <c r="D154" s="10" t="s">
        <v>14</v>
      </c>
      <c r="E154" s="3">
        <v>4.0</v>
      </c>
      <c r="F154" s="3">
        <v>6.0</v>
      </c>
      <c r="G154" s="3">
        <v>6.0</v>
      </c>
      <c r="H154" s="3">
        <v>-1.0</v>
      </c>
      <c r="I154" s="11">
        <f t="shared" si="2"/>
        <v>10</v>
      </c>
      <c r="J154" s="3">
        <v>60.0</v>
      </c>
      <c r="L154" s="34">
        <f>COUNTIF(#REF!, "&lt;10")</f>
        <v>0</v>
      </c>
    </row>
    <row r="155" ht="15.75" customHeight="1">
      <c r="A155" s="3">
        <v>148.0</v>
      </c>
      <c r="B155" s="10" t="s">
        <v>104</v>
      </c>
      <c r="C155" s="10" t="s">
        <v>11</v>
      </c>
      <c r="D155" s="10" t="s">
        <v>14</v>
      </c>
      <c r="E155" s="3">
        <v>5.0</v>
      </c>
      <c r="F155" s="3">
        <v>5.0</v>
      </c>
      <c r="G155" s="3">
        <v>4.0</v>
      </c>
      <c r="H155" s="3">
        <v>1.0</v>
      </c>
      <c r="I155" s="11">
        <f t="shared" si="2"/>
        <v>10</v>
      </c>
      <c r="J155" s="3">
        <v>60.0</v>
      </c>
    </row>
    <row r="156" ht="15.75" customHeight="1">
      <c r="A156" s="3">
        <v>149.0</v>
      </c>
      <c r="B156" s="10" t="s">
        <v>138</v>
      </c>
      <c r="C156" s="10" t="s">
        <v>11</v>
      </c>
      <c r="D156" s="10" t="s">
        <v>14</v>
      </c>
      <c r="E156" s="3">
        <v>10.0</v>
      </c>
      <c r="F156" s="3">
        <v>8.0</v>
      </c>
      <c r="G156" s="3">
        <v>5.0</v>
      </c>
      <c r="H156" s="3">
        <v>1.0</v>
      </c>
      <c r="I156" s="11">
        <f t="shared" si="2"/>
        <v>18</v>
      </c>
      <c r="J156" s="3">
        <v>100.0</v>
      </c>
    </row>
    <row r="157" ht="15.75" customHeight="1">
      <c r="A157" s="3">
        <v>150.0</v>
      </c>
      <c r="B157" s="10" t="s">
        <v>139</v>
      </c>
      <c r="C157" s="10" t="s">
        <v>11</v>
      </c>
      <c r="D157" s="10" t="s">
        <v>14</v>
      </c>
      <c r="E157" s="3">
        <v>7.0</v>
      </c>
      <c r="F157" s="3">
        <v>6.0</v>
      </c>
      <c r="G157" s="3">
        <v>5.0</v>
      </c>
      <c r="H157" s="3">
        <v>1.0</v>
      </c>
      <c r="I157" s="11">
        <f t="shared" si="2"/>
        <v>13</v>
      </c>
      <c r="J157" s="3">
        <v>80.0</v>
      </c>
    </row>
    <row r="158" ht="15.75" customHeight="1">
      <c r="A158" s="3">
        <v>151.0</v>
      </c>
      <c r="B158" s="10" t="s">
        <v>72</v>
      </c>
      <c r="C158" s="10" t="s">
        <v>11</v>
      </c>
      <c r="D158" s="10" t="s">
        <v>14</v>
      </c>
      <c r="E158" s="3">
        <v>9.0</v>
      </c>
      <c r="F158" s="3">
        <v>6.0</v>
      </c>
      <c r="G158" s="3">
        <v>3.0</v>
      </c>
      <c r="H158" s="3">
        <v>1.0</v>
      </c>
      <c r="I158" s="11">
        <f t="shared" si="2"/>
        <v>15</v>
      </c>
      <c r="J158" s="3">
        <v>80.0</v>
      </c>
    </row>
    <row r="159" ht="15.75" customHeight="1">
      <c r="A159" s="3">
        <v>152.0</v>
      </c>
      <c r="B159" s="10" t="s">
        <v>140</v>
      </c>
      <c r="C159" s="10" t="s">
        <v>11</v>
      </c>
      <c r="D159" s="10" t="s">
        <v>14</v>
      </c>
      <c r="E159" s="3">
        <v>6.0</v>
      </c>
      <c r="F159" s="3">
        <v>7.0</v>
      </c>
      <c r="G159" s="3">
        <v>5.0</v>
      </c>
      <c r="H159" s="3">
        <v>1.0</v>
      </c>
      <c r="I159" s="11">
        <f t="shared" si="2"/>
        <v>13</v>
      </c>
      <c r="J159" s="3">
        <v>60.0</v>
      </c>
    </row>
    <row r="160" ht="15.75" customHeight="1">
      <c r="A160" s="3">
        <v>158.0</v>
      </c>
      <c r="B160" s="10" t="s">
        <v>161</v>
      </c>
      <c r="C160" s="10" t="s">
        <v>11</v>
      </c>
      <c r="D160" s="10" t="s">
        <v>14</v>
      </c>
      <c r="E160" s="3">
        <v>3.0</v>
      </c>
      <c r="F160" s="3">
        <v>5.0</v>
      </c>
      <c r="G160" s="3">
        <v>6.0</v>
      </c>
      <c r="H160" s="3">
        <v>-1.0</v>
      </c>
      <c r="I160" s="11">
        <f t="shared" si="2"/>
        <v>8</v>
      </c>
      <c r="J160" s="3">
        <v>40.0</v>
      </c>
    </row>
    <row r="161" ht="15.75" customHeight="1">
      <c r="A161" s="3">
        <v>159.0</v>
      </c>
      <c r="B161" s="10" t="s">
        <v>40</v>
      </c>
      <c r="C161" s="10" t="s">
        <v>13</v>
      </c>
      <c r="D161" s="10" t="s">
        <v>14</v>
      </c>
      <c r="E161" s="3">
        <v>5.0</v>
      </c>
      <c r="F161" s="3">
        <v>6.0</v>
      </c>
      <c r="G161" s="3">
        <v>2.0</v>
      </c>
      <c r="H161" s="3">
        <v>1.0</v>
      </c>
      <c r="I161" s="11">
        <f t="shared" si="2"/>
        <v>11</v>
      </c>
      <c r="J161" s="3">
        <v>60.0</v>
      </c>
    </row>
    <row r="162" ht="15.75" customHeight="1">
      <c r="B162" s="23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>
      <c r="B172" s="24"/>
    </row>
    <row r="173" ht="15.75" customHeight="1"/>
    <row r="174" ht="15.75" customHeight="1">
      <c r="B174" s="23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3">
        <v>126.0</v>
      </c>
      <c r="B1" s="10" t="s">
        <v>69</v>
      </c>
      <c r="C1" s="10" t="s">
        <v>13</v>
      </c>
      <c r="D1" s="10" t="s">
        <v>14</v>
      </c>
      <c r="E1" s="3">
        <v>4.0</v>
      </c>
      <c r="F1" s="3">
        <v>4.0</v>
      </c>
      <c r="G1" s="3">
        <v>3.0</v>
      </c>
      <c r="H1" s="3">
        <v>1.0</v>
      </c>
      <c r="I1" s="11">
        <f t="shared" ref="I1:I12" si="1">sum(E1,F1)</f>
        <v>8</v>
      </c>
      <c r="J1" s="3">
        <v>50.0</v>
      </c>
    </row>
    <row r="2" ht="15.75" customHeight="1">
      <c r="A2" s="3">
        <v>9.0</v>
      </c>
      <c r="B2" s="10" t="s">
        <v>25</v>
      </c>
      <c r="C2" s="10" t="s">
        <v>13</v>
      </c>
      <c r="D2" s="10" t="s">
        <v>14</v>
      </c>
      <c r="E2" s="3">
        <v>4.0</v>
      </c>
      <c r="F2" s="3">
        <v>5.0</v>
      </c>
      <c r="G2" s="3">
        <v>2.0</v>
      </c>
      <c r="H2" s="3">
        <v>-1.0</v>
      </c>
      <c r="I2" s="11">
        <f t="shared" si="1"/>
        <v>9</v>
      </c>
      <c r="J2" s="3">
        <v>50.0</v>
      </c>
      <c r="K2" s="33" t="s">
        <v>176</v>
      </c>
    </row>
    <row r="3" ht="15.75" customHeight="1">
      <c r="A3" s="3">
        <v>25.0</v>
      </c>
      <c r="B3" s="10" t="s">
        <v>28</v>
      </c>
      <c r="C3" s="10" t="s">
        <v>13</v>
      </c>
      <c r="D3" s="10" t="s">
        <v>14</v>
      </c>
      <c r="E3" s="3">
        <v>5.0</v>
      </c>
      <c r="F3" s="3">
        <v>5.0</v>
      </c>
      <c r="G3" s="3">
        <v>2.0</v>
      </c>
      <c r="H3" s="3">
        <v>1.0</v>
      </c>
      <c r="I3" s="11">
        <f t="shared" si="1"/>
        <v>10</v>
      </c>
      <c r="J3" s="3">
        <v>60.0</v>
      </c>
      <c r="K3" s="33" t="s">
        <v>176</v>
      </c>
    </row>
    <row r="4" ht="15.75" customHeight="1">
      <c r="A4" s="3">
        <v>40.0</v>
      </c>
      <c r="B4" s="10" t="s">
        <v>53</v>
      </c>
      <c r="C4" s="10" t="s">
        <v>13</v>
      </c>
      <c r="D4" s="10" t="s">
        <v>14</v>
      </c>
      <c r="E4" s="3">
        <v>6.0</v>
      </c>
      <c r="F4" s="3">
        <v>5.0</v>
      </c>
      <c r="G4" s="3">
        <v>3.0</v>
      </c>
      <c r="H4" s="3">
        <v>-1.0</v>
      </c>
      <c r="I4" s="11">
        <f t="shared" si="1"/>
        <v>11</v>
      </c>
      <c r="J4" s="3">
        <v>60.0</v>
      </c>
    </row>
    <row r="5" ht="15.75" customHeight="1">
      <c r="A5" s="3">
        <v>75.0</v>
      </c>
      <c r="B5" s="10" t="s">
        <v>59</v>
      </c>
      <c r="C5" s="10" t="s">
        <v>13</v>
      </c>
      <c r="D5" s="10" t="s">
        <v>14</v>
      </c>
      <c r="E5" s="3">
        <v>6.0</v>
      </c>
      <c r="F5" s="3">
        <v>5.0</v>
      </c>
      <c r="G5" s="3">
        <v>3.0</v>
      </c>
      <c r="H5" s="3">
        <v>-1.0</v>
      </c>
      <c r="I5" s="11">
        <f t="shared" si="1"/>
        <v>11</v>
      </c>
      <c r="J5" s="3">
        <v>60.0</v>
      </c>
    </row>
    <row r="6" ht="15.75" customHeight="1">
      <c r="A6" s="3">
        <v>61.0</v>
      </c>
      <c r="B6" s="10" t="s">
        <v>31</v>
      </c>
      <c r="C6" s="10" t="s">
        <v>11</v>
      </c>
      <c r="D6" s="10" t="s">
        <v>14</v>
      </c>
      <c r="E6" s="3">
        <v>6.0</v>
      </c>
      <c r="F6" s="3">
        <v>6.0</v>
      </c>
      <c r="G6" s="3">
        <v>2.0</v>
      </c>
      <c r="H6" s="3">
        <v>1.0</v>
      </c>
      <c r="I6" s="11">
        <f t="shared" si="1"/>
        <v>12</v>
      </c>
      <c r="J6" s="3">
        <v>60.0</v>
      </c>
    </row>
    <row r="7" ht="15.75" customHeight="1">
      <c r="A7" s="3">
        <v>34.0</v>
      </c>
      <c r="B7" s="10" t="s">
        <v>51</v>
      </c>
      <c r="C7" s="10" t="s">
        <v>11</v>
      </c>
      <c r="D7" s="10" t="s">
        <v>14</v>
      </c>
      <c r="E7" s="3">
        <v>7.0</v>
      </c>
      <c r="F7" s="3">
        <v>5.0</v>
      </c>
      <c r="G7" s="3">
        <v>3.0</v>
      </c>
      <c r="H7" s="3">
        <v>1.0</v>
      </c>
      <c r="I7" s="11">
        <f t="shared" si="1"/>
        <v>12</v>
      </c>
      <c r="J7" s="3">
        <v>80.0</v>
      </c>
    </row>
    <row r="8" ht="15.75" customHeight="1">
      <c r="A8" s="3">
        <v>110.0</v>
      </c>
      <c r="B8" s="10" t="s">
        <v>65</v>
      </c>
      <c r="C8" s="10" t="s">
        <v>13</v>
      </c>
      <c r="D8" s="10" t="s">
        <v>14</v>
      </c>
      <c r="E8" s="3">
        <v>6.0</v>
      </c>
      <c r="F8" s="3">
        <v>6.0</v>
      </c>
      <c r="G8" s="3">
        <v>3.0</v>
      </c>
      <c r="H8" s="3">
        <v>-1.0</v>
      </c>
      <c r="I8" s="11">
        <f t="shared" si="1"/>
        <v>12</v>
      </c>
      <c r="J8" s="3">
        <v>60.0</v>
      </c>
      <c r="K8" s="33" t="s">
        <v>176</v>
      </c>
    </row>
    <row r="9" ht="15.75" customHeight="1">
      <c r="A9" s="3">
        <v>46.0</v>
      </c>
      <c r="B9" s="10" t="s">
        <v>29</v>
      </c>
      <c r="C9" s="10" t="s">
        <v>11</v>
      </c>
      <c r="D9" s="10" t="s">
        <v>14</v>
      </c>
      <c r="E9" s="3">
        <v>6.0</v>
      </c>
      <c r="F9" s="3">
        <v>7.0</v>
      </c>
      <c r="G9" s="3">
        <v>2.0</v>
      </c>
      <c r="H9" s="3">
        <v>-1.0</v>
      </c>
      <c r="I9" s="11">
        <f t="shared" si="1"/>
        <v>13</v>
      </c>
      <c r="J9" s="3">
        <v>60.0</v>
      </c>
    </row>
    <row r="10" ht="15.75" customHeight="1">
      <c r="A10" s="3">
        <v>117.0</v>
      </c>
      <c r="B10" s="10" t="s">
        <v>67</v>
      </c>
      <c r="C10" s="10" t="s">
        <v>11</v>
      </c>
      <c r="D10" s="10" t="s">
        <v>14</v>
      </c>
      <c r="E10" s="3">
        <v>7.0</v>
      </c>
      <c r="F10" s="3">
        <v>7.0</v>
      </c>
      <c r="G10" s="3">
        <v>3.0</v>
      </c>
      <c r="H10" s="3">
        <v>-1.0</v>
      </c>
      <c r="I10" s="11">
        <f t="shared" si="1"/>
        <v>14</v>
      </c>
      <c r="J10" s="3">
        <v>80.0</v>
      </c>
    </row>
    <row r="11" ht="15.75" customHeight="1">
      <c r="A11" s="3">
        <v>151.0</v>
      </c>
      <c r="B11" s="10" t="s">
        <v>72</v>
      </c>
      <c r="C11" s="10" t="s">
        <v>11</v>
      </c>
      <c r="D11" s="10" t="s">
        <v>14</v>
      </c>
      <c r="E11" s="3">
        <v>9.0</v>
      </c>
      <c r="F11" s="3">
        <v>6.0</v>
      </c>
      <c r="G11" s="3">
        <v>3.0</v>
      </c>
      <c r="H11" s="3">
        <v>1.0</v>
      </c>
      <c r="I11" s="11">
        <f t="shared" si="1"/>
        <v>15</v>
      </c>
      <c r="J11" s="3">
        <v>80.0</v>
      </c>
    </row>
    <row r="12" ht="15.75" customHeight="1">
      <c r="A12" s="3">
        <v>1.0</v>
      </c>
      <c r="B12" s="10" t="s">
        <v>12</v>
      </c>
      <c r="C12" s="10" t="s">
        <v>13</v>
      </c>
      <c r="D12" s="10" t="s">
        <v>14</v>
      </c>
      <c r="E12" s="3">
        <v>8.0</v>
      </c>
      <c r="F12" s="3">
        <v>8.0</v>
      </c>
      <c r="G12" s="3">
        <v>1.0</v>
      </c>
      <c r="H12" s="3">
        <v>-1.0</v>
      </c>
      <c r="I12" s="11">
        <f t="shared" si="1"/>
        <v>16</v>
      </c>
      <c r="J12" s="3">
        <v>100.0</v>
      </c>
    </row>
    <row r="13" ht="15.75" customHeight="1">
      <c r="A13" s="1" t="s">
        <v>0</v>
      </c>
      <c r="B13" s="1" t="s">
        <v>1</v>
      </c>
      <c r="C13" s="1" t="s">
        <v>2</v>
      </c>
      <c r="D13" s="1" t="s">
        <v>3</v>
      </c>
      <c r="E13" s="1" t="s">
        <v>4</v>
      </c>
      <c r="F13" s="1" t="s">
        <v>5</v>
      </c>
      <c r="G13" s="1" t="s">
        <v>6</v>
      </c>
      <c r="H13" s="1" t="s">
        <v>7</v>
      </c>
      <c r="I13" s="2" t="s">
        <v>8</v>
      </c>
      <c r="J13" s="1" t="s">
        <v>9</v>
      </c>
      <c r="K13" s="33" t="s">
        <v>173</v>
      </c>
      <c r="L13" s="33" t="s">
        <v>174</v>
      </c>
      <c r="M13" s="33" t="s">
        <v>175</v>
      </c>
    </row>
    <row r="14" ht="15.75" customHeight="1">
      <c r="A14" s="3"/>
      <c r="B14" s="10"/>
      <c r="C14" s="10"/>
      <c r="D14" s="10"/>
      <c r="E14" s="3"/>
      <c r="F14" s="3"/>
      <c r="G14" s="3"/>
      <c r="H14" s="3"/>
      <c r="I14" s="11"/>
      <c r="J14" s="3"/>
    </row>
    <row r="15" ht="15.75" customHeight="1">
      <c r="A15" s="3"/>
      <c r="B15" s="10"/>
      <c r="C15" s="10"/>
      <c r="D15" s="10"/>
      <c r="E15" s="3"/>
      <c r="F15" s="3"/>
      <c r="G15" s="3"/>
      <c r="H15" s="3"/>
      <c r="I15" s="11"/>
      <c r="J15" s="3"/>
    </row>
    <row r="16" ht="15.75" customHeight="1">
      <c r="A16" s="3"/>
      <c r="B16" s="10"/>
      <c r="C16" s="10"/>
      <c r="D16" s="10"/>
      <c r="E16" s="3"/>
      <c r="F16" s="3"/>
      <c r="G16" s="3"/>
      <c r="H16" s="3"/>
      <c r="I16" s="11"/>
      <c r="J16" s="3"/>
    </row>
    <row r="17" ht="15.75" customHeight="1">
      <c r="A17" s="3"/>
      <c r="B17" s="10"/>
      <c r="C17" s="10"/>
      <c r="D17" s="10"/>
      <c r="E17" s="3"/>
      <c r="F17" s="3"/>
      <c r="G17" s="3"/>
      <c r="H17" s="3"/>
      <c r="I17" s="11"/>
      <c r="J17" s="3"/>
    </row>
    <row r="18" ht="15.75" customHeight="1">
      <c r="A18" s="3"/>
      <c r="B18" s="10"/>
      <c r="C18" s="10"/>
      <c r="D18" s="10"/>
      <c r="E18" s="3"/>
      <c r="F18" s="3"/>
      <c r="G18" s="3"/>
      <c r="H18" s="3"/>
      <c r="I18" s="11"/>
      <c r="J18" s="3"/>
    </row>
    <row r="19" ht="15.75" customHeight="1">
      <c r="A19" s="3"/>
      <c r="B19" s="10"/>
      <c r="C19" s="10"/>
      <c r="D19" s="10"/>
      <c r="E19" s="3"/>
      <c r="F19" s="3"/>
      <c r="G19" s="3"/>
      <c r="H19" s="3"/>
      <c r="I19" s="11"/>
      <c r="J19" s="3"/>
    </row>
    <row r="20" ht="15.75" customHeight="1">
      <c r="A20" s="3"/>
      <c r="B20" s="10"/>
      <c r="C20" s="10"/>
      <c r="D20" s="10"/>
      <c r="E20" s="3"/>
      <c r="F20" s="3"/>
      <c r="G20" s="3"/>
      <c r="H20" s="3"/>
      <c r="I20" s="11"/>
      <c r="J20" s="3"/>
    </row>
    <row r="21" ht="15.75" customHeight="1">
      <c r="A21" s="3"/>
      <c r="B21" s="10"/>
      <c r="C21" s="10"/>
      <c r="D21" s="10"/>
      <c r="E21" s="3"/>
      <c r="F21" s="3"/>
      <c r="G21" s="3"/>
      <c r="H21" s="3"/>
      <c r="I21" s="11"/>
      <c r="J21" s="3"/>
    </row>
    <row r="22" ht="15.75" customHeight="1">
      <c r="A22" s="3"/>
      <c r="B22" s="10"/>
      <c r="C22" s="10"/>
      <c r="D22" s="10"/>
      <c r="E22" s="3"/>
      <c r="F22" s="3"/>
      <c r="G22" s="3"/>
      <c r="H22" s="3"/>
      <c r="I22" s="11"/>
      <c r="J22" s="3"/>
    </row>
    <row r="23" ht="15.75" customHeight="1">
      <c r="A23" s="3"/>
      <c r="B23" s="10"/>
      <c r="C23" s="10"/>
      <c r="D23" s="10"/>
      <c r="E23" s="3"/>
      <c r="F23" s="3"/>
      <c r="G23" s="3"/>
      <c r="H23" s="3"/>
      <c r="I23" s="11"/>
      <c r="J23" s="3"/>
    </row>
    <row r="24" ht="15.75" customHeight="1">
      <c r="A24" s="3"/>
      <c r="B24" s="10"/>
      <c r="C24" s="10"/>
      <c r="D24" s="10"/>
      <c r="E24" s="3"/>
      <c r="F24" s="3"/>
      <c r="G24" s="3"/>
      <c r="H24" s="3"/>
      <c r="I24" s="11"/>
      <c r="J24" s="3"/>
    </row>
    <row r="25" ht="15.75" customHeight="1">
      <c r="A25" s="3"/>
      <c r="B25" s="10"/>
      <c r="C25" s="10"/>
      <c r="D25" s="10"/>
      <c r="E25" s="3"/>
      <c r="F25" s="3"/>
      <c r="G25" s="3"/>
      <c r="H25" s="3"/>
      <c r="I25" s="11"/>
      <c r="J25" s="3"/>
    </row>
    <row r="26" ht="15.75" customHeight="1">
      <c r="A26" s="3"/>
      <c r="B26" s="10"/>
      <c r="C26" s="10"/>
      <c r="D26" s="10"/>
      <c r="E26" s="3"/>
      <c r="F26" s="3"/>
      <c r="G26" s="3"/>
      <c r="H26" s="3"/>
      <c r="I26" s="11"/>
      <c r="J26" s="3"/>
    </row>
    <row r="27" ht="15.75" customHeight="1">
      <c r="A27" s="3"/>
      <c r="B27" s="10"/>
      <c r="C27" s="10"/>
      <c r="D27" s="10"/>
      <c r="E27" s="3"/>
      <c r="F27" s="3"/>
      <c r="G27" s="3"/>
      <c r="H27" s="3"/>
      <c r="I27" s="11"/>
      <c r="J27" s="3"/>
    </row>
    <row r="28" ht="15.75" customHeight="1">
      <c r="A28" s="3"/>
      <c r="B28" s="10"/>
      <c r="C28" s="10"/>
      <c r="D28" s="10"/>
      <c r="E28" s="3"/>
      <c r="F28" s="3"/>
      <c r="G28" s="3"/>
      <c r="H28" s="3"/>
      <c r="I28" s="11"/>
      <c r="J28" s="3"/>
    </row>
    <row r="29" ht="15.75" customHeight="1">
      <c r="A29" s="3"/>
      <c r="B29" s="10"/>
      <c r="C29" s="10"/>
      <c r="D29" s="10"/>
      <c r="E29" s="3"/>
      <c r="F29" s="3"/>
      <c r="G29" s="3"/>
      <c r="H29" s="3"/>
      <c r="I29" s="11"/>
      <c r="J29" s="3"/>
    </row>
    <row r="30" ht="15.75" customHeight="1">
      <c r="A30" s="3"/>
      <c r="B30" s="10"/>
      <c r="C30" s="10"/>
      <c r="D30" s="10"/>
      <c r="E30" s="3"/>
      <c r="F30" s="3"/>
      <c r="G30" s="3"/>
      <c r="H30" s="3"/>
      <c r="I30" s="11"/>
      <c r="J30" s="3"/>
    </row>
    <row r="31" ht="15.75" customHeight="1">
      <c r="A31" s="3"/>
      <c r="B31" s="10"/>
      <c r="C31" s="10"/>
      <c r="D31" s="10"/>
      <c r="E31" s="3"/>
      <c r="F31" s="3"/>
      <c r="G31" s="3"/>
      <c r="H31" s="3"/>
      <c r="I31" s="11"/>
      <c r="J31" s="3"/>
    </row>
    <row r="32" ht="15.75" customHeight="1">
      <c r="A32" s="3"/>
      <c r="B32" s="10"/>
      <c r="C32" s="10"/>
      <c r="D32" s="10"/>
      <c r="E32" s="3"/>
      <c r="F32" s="3"/>
      <c r="G32" s="3"/>
      <c r="H32" s="3"/>
      <c r="I32" s="11"/>
      <c r="J32" s="3"/>
    </row>
    <row r="33" ht="15.75" customHeight="1">
      <c r="A33" s="3"/>
      <c r="B33" s="10"/>
      <c r="C33" s="10"/>
      <c r="D33" s="10"/>
      <c r="E33" s="3"/>
      <c r="F33" s="3"/>
      <c r="G33" s="3"/>
      <c r="H33" s="3"/>
      <c r="I33" s="11"/>
      <c r="J33" s="3"/>
    </row>
    <row r="34" ht="15.75" customHeight="1">
      <c r="A34" s="3"/>
      <c r="B34" s="10"/>
      <c r="C34" s="10"/>
      <c r="D34" s="10"/>
      <c r="E34" s="3"/>
      <c r="F34" s="3"/>
      <c r="G34" s="3"/>
      <c r="H34" s="3"/>
      <c r="I34" s="11"/>
      <c r="J34" s="3"/>
    </row>
    <row r="35" ht="15.75" customHeight="1">
      <c r="A35" s="3"/>
      <c r="B35" s="10"/>
      <c r="C35" s="10"/>
      <c r="D35" s="10"/>
      <c r="E35" s="3"/>
      <c r="F35" s="3"/>
      <c r="G35" s="3"/>
      <c r="H35" s="3"/>
      <c r="I35" s="11"/>
      <c r="J35" s="3"/>
    </row>
    <row r="36" ht="15.75" customHeight="1">
      <c r="A36" s="3"/>
      <c r="B36" s="10"/>
      <c r="C36" s="10"/>
      <c r="D36" s="10"/>
      <c r="E36" s="3"/>
      <c r="F36" s="3"/>
      <c r="G36" s="3"/>
      <c r="H36" s="3"/>
      <c r="I36" s="11"/>
      <c r="J36" s="3"/>
    </row>
    <row r="37" ht="15.75" customHeight="1">
      <c r="A37" s="3"/>
      <c r="B37" s="10"/>
      <c r="C37" s="10"/>
      <c r="D37" s="10"/>
      <c r="E37" s="3"/>
      <c r="F37" s="3"/>
      <c r="G37" s="3"/>
      <c r="H37" s="3"/>
      <c r="I37" s="11"/>
      <c r="J37" s="3"/>
    </row>
    <row r="38" ht="15.75" customHeight="1">
      <c r="A38" s="3"/>
      <c r="B38" s="10"/>
      <c r="C38" s="10"/>
      <c r="D38" s="10"/>
      <c r="E38" s="3"/>
      <c r="F38" s="3"/>
      <c r="G38" s="3"/>
      <c r="H38" s="3"/>
      <c r="I38" s="11"/>
      <c r="J38" s="3"/>
    </row>
    <row r="39" ht="15.75" customHeight="1">
      <c r="A39" s="3"/>
      <c r="B39" s="10"/>
      <c r="C39" s="10"/>
      <c r="D39" s="10"/>
      <c r="E39" s="3"/>
      <c r="F39" s="3"/>
      <c r="G39" s="3"/>
      <c r="H39" s="3"/>
      <c r="I39" s="11"/>
      <c r="J39" s="3"/>
    </row>
    <row r="40" ht="15.75" customHeight="1">
      <c r="A40" s="3"/>
      <c r="B40" s="10"/>
      <c r="C40" s="10"/>
      <c r="D40" s="10"/>
      <c r="E40" s="3"/>
      <c r="F40" s="3"/>
      <c r="G40" s="3"/>
      <c r="H40" s="3"/>
      <c r="I40" s="11"/>
      <c r="J40" s="3"/>
    </row>
    <row r="41" ht="15.75" customHeight="1">
      <c r="A41" s="3"/>
      <c r="B41" s="10"/>
      <c r="C41" s="10"/>
      <c r="D41" s="10"/>
      <c r="E41" s="3"/>
      <c r="F41" s="3"/>
      <c r="G41" s="3"/>
      <c r="H41" s="3"/>
      <c r="I41" s="11"/>
      <c r="J41" s="3"/>
    </row>
    <row r="42" ht="15.75" customHeight="1">
      <c r="A42" s="3"/>
      <c r="B42" s="10"/>
      <c r="C42" s="10"/>
      <c r="D42" s="10"/>
      <c r="E42" s="3"/>
      <c r="F42" s="3"/>
      <c r="G42" s="3"/>
      <c r="H42" s="3"/>
      <c r="I42" s="11"/>
      <c r="J42" s="3"/>
    </row>
    <row r="43" ht="15.75" customHeight="1">
      <c r="A43" s="3"/>
      <c r="B43" s="10"/>
      <c r="C43" s="10"/>
      <c r="D43" s="10"/>
      <c r="E43" s="3"/>
      <c r="F43" s="3"/>
      <c r="G43" s="3"/>
      <c r="H43" s="3"/>
      <c r="I43" s="11"/>
      <c r="J43" s="3"/>
    </row>
    <row r="44" ht="15.75" customHeight="1">
      <c r="A44" s="3"/>
      <c r="B44" s="10"/>
      <c r="C44" s="10"/>
      <c r="D44" s="10"/>
      <c r="E44" s="3"/>
      <c r="F44" s="3"/>
      <c r="G44" s="3"/>
      <c r="H44" s="3"/>
      <c r="I44" s="11"/>
      <c r="J44" s="3"/>
    </row>
    <row r="45" ht="15.75" customHeight="1">
      <c r="A45" s="3"/>
      <c r="B45" s="10"/>
      <c r="C45" s="10"/>
      <c r="D45" s="10"/>
      <c r="E45" s="3"/>
      <c r="F45" s="3"/>
      <c r="G45" s="3"/>
      <c r="H45" s="3"/>
      <c r="I45" s="11"/>
      <c r="J45" s="3"/>
    </row>
    <row r="46" ht="15.75" customHeight="1">
      <c r="A46" s="3"/>
      <c r="B46" s="10"/>
      <c r="C46" s="10"/>
      <c r="D46" s="10"/>
      <c r="E46" s="3"/>
      <c r="F46" s="3"/>
      <c r="G46" s="3"/>
      <c r="H46" s="3"/>
      <c r="I46" s="11"/>
      <c r="J46" s="3"/>
    </row>
    <row r="47" ht="15.75" customHeight="1">
      <c r="A47" s="3"/>
      <c r="B47" s="10"/>
      <c r="C47" s="10"/>
      <c r="D47" s="10"/>
      <c r="E47" s="3"/>
      <c r="F47" s="3"/>
      <c r="G47" s="3"/>
      <c r="H47" s="3"/>
      <c r="I47" s="11"/>
      <c r="J47" s="3"/>
    </row>
    <row r="48" ht="15.75" customHeight="1">
      <c r="A48" s="3"/>
      <c r="B48" s="10"/>
      <c r="C48" s="10"/>
      <c r="D48" s="10"/>
      <c r="E48" s="3"/>
      <c r="F48" s="3"/>
      <c r="G48" s="3"/>
      <c r="H48" s="3"/>
      <c r="I48" s="11"/>
      <c r="J48" s="3"/>
    </row>
    <row r="49" ht="15.75" customHeight="1">
      <c r="A49" s="3"/>
      <c r="B49" s="10"/>
      <c r="C49" s="10"/>
      <c r="D49" s="10"/>
      <c r="E49" s="3"/>
      <c r="F49" s="3"/>
      <c r="G49" s="3"/>
      <c r="H49" s="3"/>
      <c r="I49" s="11"/>
      <c r="J49" s="3"/>
    </row>
    <row r="50" ht="15.75" customHeight="1">
      <c r="A50" s="3"/>
      <c r="B50" s="10"/>
      <c r="C50" s="10"/>
      <c r="D50" s="10"/>
      <c r="E50" s="3"/>
      <c r="F50" s="3"/>
      <c r="G50" s="3"/>
      <c r="H50" s="3"/>
      <c r="I50" s="11"/>
      <c r="J50" s="3"/>
    </row>
    <row r="51" ht="15.75" customHeight="1">
      <c r="A51" s="3"/>
      <c r="B51" s="10"/>
      <c r="C51" s="10"/>
      <c r="D51" s="10"/>
      <c r="E51" s="3"/>
      <c r="F51" s="3"/>
      <c r="G51" s="3"/>
      <c r="H51" s="3"/>
      <c r="I51" s="11"/>
      <c r="J51" s="3"/>
    </row>
    <row r="52" ht="15.75" customHeight="1">
      <c r="A52" s="3"/>
      <c r="B52" s="10"/>
      <c r="C52" s="10"/>
      <c r="D52" s="10"/>
      <c r="E52" s="3"/>
      <c r="F52" s="3"/>
      <c r="G52" s="3"/>
      <c r="H52" s="3"/>
      <c r="I52" s="11"/>
      <c r="J52" s="3"/>
    </row>
    <row r="53" ht="15.75" customHeight="1">
      <c r="A53" s="3"/>
      <c r="B53" s="10"/>
      <c r="C53" s="10"/>
      <c r="D53" s="10"/>
      <c r="E53" s="3"/>
      <c r="F53" s="3"/>
      <c r="G53" s="3"/>
      <c r="H53" s="3"/>
      <c r="I53" s="11"/>
      <c r="J53" s="3"/>
    </row>
    <row r="54" ht="15.75" customHeight="1">
      <c r="A54" s="3"/>
      <c r="B54" s="10"/>
      <c r="C54" s="10"/>
      <c r="D54" s="10"/>
      <c r="E54" s="3"/>
      <c r="F54" s="3"/>
      <c r="G54" s="3"/>
      <c r="H54" s="3"/>
      <c r="I54" s="11"/>
      <c r="J54" s="3"/>
    </row>
    <row r="55" ht="15.75" customHeight="1">
      <c r="A55" s="3"/>
      <c r="B55" s="10"/>
      <c r="C55" s="10"/>
      <c r="D55" s="10"/>
      <c r="E55" s="3"/>
      <c r="F55" s="3"/>
      <c r="G55" s="3"/>
      <c r="H55" s="3"/>
      <c r="I55" s="11"/>
      <c r="J55" s="3"/>
    </row>
    <row r="56" ht="15.75" customHeight="1">
      <c r="A56" s="3"/>
      <c r="B56" s="10"/>
      <c r="C56" s="10"/>
      <c r="D56" s="10"/>
      <c r="E56" s="3"/>
      <c r="F56" s="3"/>
      <c r="G56" s="3"/>
      <c r="H56" s="3"/>
      <c r="I56" s="11"/>
      <c r="J56" s="3"/>
    </row>
    <row r="57" ht="15.75" customHeight="1">
      <c r="A57" s="3"/>
      <c r="B57" s="10"/>
      <c r="C57" s="10"/>
      <c r="D57" s="10"/>
      <c r="E57" s="3"/>
      <c r="F57" s="3"/>
      <c r="G57" s="3"/>
      <c r="H57" s="3"/>
      <c r="I57" s="11"/>
      <c r="J57" s="3"/>
    </row>
    <row r="58" ht="15.75" customHeight="1">
      <c r="A58" s="3"/>
      <c r="B58" s="10"/>
      <c r="C58" s="10"/>
      <c r="D58" s="10"/>
      <c r="E58" s="3"/>
      <c r="F58" s="3"/>
      <c r="G58" s="3"/>
      <c r="H58" s="3"/>
      <c r="I58" s="11"/>
      <c r="J58" s="3"/>
    </row>
    <row r="59" ht="15.75" customHeight="1">
      <c r="A59" s="3"/>
      <c r="B59" s="10"/>
      <c r="C59" s="10"/>
      <c r="D59" s="10"/>
      <c r="E59" s="3"/>
      <c r="F59" s="3"/>
      <c r="G59" s="3"/>
      <c r="H59" s="3"/>
      <c r="I59" s="11"/>
      <c r="J59" s="3"/>
    </row>
    <row r="60" ht="15.75" customHeight="1">
      <c r="A60" s="3"/>
      <c r="B60" s="10"/>
      <c r="C60" s="10"/>
      <c r="D60" s="10"/>
      <c r="E60" s="3"/>
      <c r="F60" s="3"/>
      <c r="G60" s="3"/>
      <c r="H60" s="3"/>
      <c r="I60" s="11"/>
      <c r="J60" s="3"/>
    </row>
    <row r="61" ht="15.75" customHeight="1">
      <c r="A61" s="3"/>
      <c r="B61" s="10"/>
      <c r="C61" s="10"/>
      <c r="D61" s="10"/>
      <c r="E61" s="3"/>
      <c r="F61" s="3"/>
      <c r="G61" s="3"/>
      <c r="H61" s="3"/>
      <c r="I61" s="11"/>
      <c r="J61" s="3"/>
    </row>
    <row r="62" ht="15.75" customHeight="1">
      <c r="A62" s="3"/>
      <c r="B62" s="10"/>
      <c r="C62" s="10"/>
      <c r="D62" s="10"/>
      <c r="E62" s="3"/>
      <c r="F62" s="3"/>
      <c r="G62" s="3"/>
      <c r="H62" s="3"/>
      <c r="I62" s="11"/>
      <c r="J62" s="3"/>
    </row>
    <row r="63" ht="15.75" customHeight="1">
      <c r="A63" s="3"/>
      <c r="B63" s="10"/>
      <c r="C63" s="10"/>
      <c r="D63" s="10"/>
      <c r="E63" s="3"/>
      <c r="F63" s="3"/>
      <c r="G63" s="3"/>
      <c r="H63" s="3"/>
      <c r="I63" s="11"/>
      <c r="J63" s="3"/>
    </row>
    <row r="64" ht="15.75" customHeight="1">
      <c r="A64" s="3"/>
      <c r="B64" s="10"/>
      <c r="C64" s="10"/>
      <c r="D64" s="10"/>
      <c r="E64" s="3"/>
      <c r="F64" s="3"/>
      <c r="G64" s="3"/>
      <c r="H64" s="3"/>
      <c r="I64" s="11"/>
      <c r="J64" s="3"/>
    </row>
    <row r="65" ht="15.75" customHeight="1">
      <c r="A65" s="3"/>
      <c r="B65" s="10"/>
      <c r="C65" s="10"/>
      <c r="D65" s="10"/>
      <c r="E65" s="3"/>
      <c r="F65" s="3"/>
      <c r="G65" s="3"/>
      <c r="H65" s="3"/>
      <c r="I65" s="11"/>
      <c r="J65" s="3"/>
    </row>
    <row r="66" ht="15.75" customHeight="1">
      <c r="A66" s="3"/>
      <c r="B66" s="10"/>
      <c r="C66" s="10"/>
      <c r="D66" s="10"/>
      <c r="E66" s="3"/>
      <c r="F66" s="3"/>
      <c r="G66" s="3"/>
      <c r="H66" s="3"/>
      <c r="I66" s="11"/>
      <c r="J66" s="3"/>
    </row>
    <row r="67" ht="15.75" customHeight="1">
      <c r="A67" s="3"/>
      <c r="B67" s="10"/>
      <c r="C67" s="10"/>
      <c r="D67" s="10"/>
      <c r="E67" s="3"/>
      <c r="F67" s="3"/>
      <c r="G67" s="3"/>
      <c r="H67" s="3"/>
      <c r="I67" s="11"/>
      <c r="J67" s="3"/>
    </row>
    <row r="68" ht="15.75" customHeight="1">
      <c r="A68" s="3"/>
      <c r="B68" s="10"/>
      <c r="C68" s="10"/>
      <c r="D68" s="10"/>
      <c r="E68" s="3"/>
      <c r="F68" s="3"/>
      <c r="G68" s="3"/>
      <c r="H68" s="3"/>
      <c r="I68" s="11"/>
      <c r="J68" s="3"/>
    </row>
    <row r="69" ht="15.75" customHeight="1">
      <c r="A69" s="3"/>
      <c r="B69" s="10"/>
      <c r="C69" s="10"/>
      <c r="D69" s="10"/>
      <c r="E69" s="3"/>
      <c r="F69" s="3"/>
      <c r="G69" s="3"/>
      <c r="H69" s="3"/>
      <c r="I69" s="11"/>
      <c r="J69" s="3"/>
    </row>
    <row r="70" ht="15.75" customHeight="1">
      <c r="A70" s="3"/>
      <c r="B70" s="10"/>
      <c r="C70" s="10"/>
      <c r="D70" s="10"/>
      <c r="E70" s="3"/>
      <c r="F70" s="3"/>
      <c r="G70" s="3"/>
      <c r="H70" s="3"/>
      <c r="I70" s="11"/>
      <c r="J70" s="3"/>
    </row>
    <row r="71" ht="15.75" customHeight="1">
      <c r="A71" s="3"/>
      <c r="B71" s="10"/>
      <c r="C71" s="10"/>
      <c r="D71" s="10"/>
      <c r="E71" s="3"/>
      <c r="F71" s="3"/>
      <c r="G71" s="3"/>
      <c r="H71" s="3"/>
      <c r="I71" s="11"/>
      <c r="J71" s="3"/>
    </row>
    <row r="72" ht="15.75" customHeight="1">
      <c r="A72" s="3"/>
      <c r="B72" s="10"/>
      <c r="C72" s="10"/>
      <c r="D72" s="10"/>
      <c r="E72" s="3"/>
      <c r="F72" s="3"/>
      <c r="G72" s="3"/>
      <c r="H72" s="3"/>
      <c r="I72" s="11"/>
      <c r="J72" s="3"/>
    </row>
    <row r="73" ht="15.75" customHeight="1">
      <c r="A73" s="3"/>
      <c r="B73" s="10"/>
      <c r="C73" s="10"/>
      <c r="D73" s="10"/>
      <c r="E73" s="3"/>
      <c r="F73" s="3"/>
      <c r="G73" s="3"/>
      <c r="H73" s="3"/>
      <c r="I73" s="11"/>
      <c r="J73" s="3"/>
    </row>
    <row r="74" ht="15.75" customHeight="1">
      <c r="A74" s="3"/>
      <c r="B74" s="10"/>
      <c r="C74" s="10"/>
      <c r="D74" s="10"/>
      <c r="E74" s="3"/>
      <c r="F74" s="3"/>
      <c r="G74" s="3"/>
      <c r="H74" s="3"/>
      <c r="I74" s="11"/>
      <c r="J74" s="3"/>
    </row>
    <row r="75" ht="15.75" customHeight="1">
      <c r="A75" s="3"/>
      <c r="B75" s="10"/>
      <c r="C75" s="10"/>
      <c r="D75" s="10"/>
      <c r="E75" s="3"/>
      <c r="F75" s="3"/>
      <c r="G75" s="3"/>
      <c r="H75" s="3"/>
      <c r="I75" s="11"/>
      <c r="J75" s="3"/>
    </row>
    <row r="76" ht="15.75" customHeight="1">
      <c r="A76" s="3"/>
      <c r="B76" s="20"/>
      <c r="C76" s="10"/>
      <c r="D76" s="10"/>
      <c r="E76" s="3"/>
      <c r="F76" s="3"/>
      <c r="G76" s="3"/>
      <c r="H76" s="3"/>
      <c r="I76" s="11"/>
      <c r="J76" s="3"/>
    </row>
    <row r="77" ht="15.75" customHeight="1">
      <c r="A77" s="3"/>
      <c r="B77" s="10"/>
      <c r="C77" s="10"/>
      <c r="D77" s="10"/>
      <c r="E77" s="3"/>
      <c r="F77" s="3"/>
      <c r="G77" s="3"/>
      <c r="H77" s="3"/>
      <c r="I77" s="11"/>
      <c r="J77" s="3"/>
    </row>
    <row r="78" ht="15.75" customHeight="1">
      <c r="A78" s="3"/>
      <c r="B78" s="10"/>
      <c r="C78" s="10"/>
      <c r="D78" s="10"/>
      <c r="E78" s="3"/>
      <c r="F78" s="3"/>
      <c r="G78" s="3"/>
      <c r="H78" s="3"/>
      <c r="I78" s="11"/>
      <c r="J78" s="3"/>
    </row>
    <row r="79" ht="15.75" customHeight="1">
      <c r="A79" s="3"/>
      <c r="B79" s="10"/>
      <c r="C79" s="10"/>
      <c r="D79" s="10"/>
      <c r="E79" s="3"/>
      <c r="F79" s="3"/>
      <c r="G79" s="3"/>
      <c r="H79" s="3"/>
      <c r="I79" s="11"/>
      <c r="J79" s="3"/>
    </row>
    <row r="80" ht="15.75" customHeight="1">
      <c r="A80" s="3"/>
      <c r="B80" s="10"/>
      <c r="C80" s="10"/>
      <c r="D80" s="10"/>
      <c r="E80" s="3"/>
      <c r="F80" s="3"/>
      <c r="G80" s="3"/>
      <c r="H80" s="3"/>
      <c r="I80" s="11"/>
      <c r="J80" s="3"/>
    </row>
    <row r="81" ht="15.75" customHeight="1">
      <c r="A81" s="3"/>
      <c r="B81" s="10"/>
      <c r="C81" s="10"/>
      <c r="D81" s="10"/>
      <c r="E81" s="3"/>
      <c r="F81" s="3"/>
      <c r="G81" s="3"/>
      <c r="H81" s="3"/>
      <c r="I81" s="11"/>
      <c r="J81" s="3"/>
    </row>
    <row r="82" ht="15.75" customHeight="1">
      <c r="A82" s="3"/>
      <c r="B82" s="10"/>
      <c r="C82" s="10"/>
      <c r="D82" s="10"/>
      <c r="E82" s="3"/>
      <c r="F82" s="3"/>
      <c r="G82" s="3"/>
      <c r="H82" s="3"/>
      <c r="I82" s="11"/>
      <c r="J82" s="3"/>
    </row>
    <row r="83" ht="15.75" customHeight="1">
      <c r="A83" s="3"/>
      <c r="B83" s="10"/>
      <c r="C83" s="10"/>
      <c r="D83" s="10"/>
      <c r="E83" s="3"/>
      <c r="F83" s="3"/>
      <c r="G83" s="3"/>
      <c r="H83" s="3"/>
      <c r="I83" s="11"/>
      <c r="J83" s="3"/>
    </row>
    <row r="84" ht="15.75" customHeight="1">
      <c r="A84" s="3"/>
      <c r="B84" s="10"/>
      <c r="C84" s="10"/>
      <c r="D84" s="10"/>
      <c r="E84" s="3"/>
      <c r="F84" s="3"/>
      <c r="G84" s="3"/>
      <c r="H84" s="3"/>
      <c r="I84" s="11"/>
      <c r="J84" s="3"/>
    </row>
    <row r="85" ht="15.75" customHeight="1">
      <c r="A85" s="3"/>
      <c r="B85" s="10"/>
      <c r="C85" s="10"/>
      <c r="D85" s="10"/>
      <c r="E85" s="3"/>
      <c r="F85" s="3"/>
      <c r="G85" s="3"/>
      <c r="H85" s="3"/>
      <c r="I85" s="11"/>
      <c r="J85" s="3"/>
    </row>
    <row r="86" ht="15.75" customHeight="1">
      <c r="A86" s="3"/>
      <c r="B86" s="10"/>
      <c r="C86" s="10"/>
      <c r="D86" s="10"/>
      <c r="E86" s="3"/>
      <c r="F86" s="3"/>
      <c r="G86" s="3"/>
      <c r="H86" s="3"/>
      <c r="I86" s="11"/>
      <c r="J86" s="3"/>
    </row>
    <row r="87" ht="15.75" customHeight="1">
      <c r="A87" s="13"/>
      <c r="B87" s="12"/>
      <c r="C87" s="12"/>
      <c r="D87" s="12"/>
      <c r="E87" s="13"/>
      <c r="F87" s="13"/>
      <c r="G87" s="13"/>
      <c r="H87" s="13"/>
      <c r="I87" s="14"/>
      <c r="J87" s="13"/>
      <c r="K87" s="35"/>
      <c r="L87" s="35"/>
      <c r="M87" s="3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</row>
    <row r="88" ht="15.75" customHeight="1">
      <c r="A88" s="3"/>
      <c r="B88" s="10"/>
      <c r="C88" s="10"/>
      <c r="D88" s="10"/>
      <c r="E88" s="3"/>
      <c r="F88" s="3"/>
      <c r="G88" s="3"/>
      <c r="H88" s="3"/>
      <c r="I88" s="11"/>
      <c r="J88" s="3"/>
    </row>
    <row r="89" ht="15.75" customHeight="1">
      <c r="A89" s="3"/>
      <c r="B89" s="10"/>
      <c r="C89" s="10"/>
      <c r="D89" s="10"/>
      <c r="E89" s="3"/>
      <c r="F89" s="3"/>
      <c r="G89" s="3"/>
      <c r="H89" s="3"/>
      <c r="I89" s="11"/>
      <c r="J89" s="3"/>
    </row>
    <row r="90" ht="15.75" customHeight="1">
      <c r="A90" s="3"/>
      <c r="B90" s="10"/>
      <c r="C90" s="10"/>
      <c r="D90" s="10"/>
      <c r="E90" s="3"/>
      <c r="F90" s="3"/>
      <c r="G90" s="3"/>
      <c r="H90" s="3"/>
      <c r="I90" s="11"/>
      <c r="J90" s="3"/>
    </row>
    <row r="91" ht="15.75" customHeight="1">
      <c r="A91" s="3"/>
      <c r="B91" s="10"/>
      <c r="C91" s="10"/>
      <c r="D91" s="10"/>
      <c r="E91" s="3"/>
      <c r="F91" s="3"/>
      <c r="G91" s="3"/>
      <c r="H91" s="3"/>
      <c r="I91" s="11"/>
      <c r="J91" s="3"/>
    </row>
    <row r="92" ht="15.75" customHeight="1">
      <c r="A92" s="3"/>
      <c r="B92" s="10"/>
      <c r="C92" s="10"/>
      <c r="D92" s="10"/>
      <c r="E92" s="3"/>
      <c r="F92" s="3"/>
      <c r="G92" s="3"/>
      <c r="H92" s="3"/>
      <c r="I92" s="11"/>
      <c r="J92" s="3"/>
    </row>
    <row r="93" ht="15.75" customHeight="1">
      <c r="A93" s="3"/>
      <c r="B93" s="10"/>
      <c r="C93" s="10"/>
      <c r="D93" s="10"/>
      <c r="E93" s="3"/>
      <c r="F93" s="3"/>
      <c r="G93" s="3"/>
      <c r="H93" s="3"/>
      <c r="I93" s="11"/>
      <c r="J93" s="3"/>
    </row>
    <row r="94" ht="15.75" customHeight="1">
      <c r="A94" s="3"/>
      <c r="B94" s="10"/>
      <c r="C94" s="10"/>
      <c r="D94" s="10"/>
      <c r="E94" s="3"/>
      <c r="F94" s="3"/>
      <c r="G94" s="3"/>
      <c r="H94" s="3"/>
      <c r="I94" s="11"/>
      <c r="J94" s="3"/>
    </row>
    <row r="95" ht="15.75" customHeight="1">
      <c r="A95" s="3"/>
      <c r="B95" s="10"/>
      <c r="C95" s="10"/>
      <c r="D95" s="10"/>
      <c r="E95" s="3"/>
      <c r="F95" s="3"/>
      <c r="G95" s="3"/>
      <c r="H95" s="3"/>
      <c r="I95" s="11"/>
      <c r="J95" s="3"/>
    </row>
    <row r="96" ht="15.75" customHeight="1">
      <c r="A96" s="3"/>
      <c r="B96" s="10"/>
      <c r="C96" s="10"/>
      <c r="D96" s="10"/>
      <c r="E96" s="3"/>
      <c r="F96" s="3"/>
      <c r="G96" s="3"/>
      <c r="H96" s="3"/>
      <c r="I96" s="11"/>
      <c r="J96" s="3"/>
    </row>
    <row r="97" ht="15.75" customHeight="1">
      <c r="A97" s="3"/>
      <c r="B97" s="10"/>
      <c r="C97" s="10"/>
      <c r="D97" s="10"/>
      <c r="E97" s="3"/>
      <c r="F97" s="3"/>
      <c r="G97" s="3"/>
      <c r="H97" s="3"/>
      <c r="I97" s="11"/>
      <c r="J97" s="3"/>
    </row>
    <row r="98" ht="15.75" customHeight="1">
      <c r="A98" s="3"/>
      <c r="B98" s="10"/>
      <c r="C98" s="10"/>
      <c r="D98" s="10"/>
      <c r="E98" s="3"/>
      <c r="F98" s="3"/>
      <c r="G98" s="3"/>
      <c r="H98" s="3"/>
      <c r="I98" s="11"/>
      <c r="J98" s="3"/>
    </row>
    <row r="99" ht="15.75" customHeight="1">
      <c r="A99" s="3"/>
      <c r="B99" s="10"/>
      <c r="C99" s="10"/>
      <c r="D99" s="10"/>
      <c r="E99" s="3"/>
      <c r="F99" s="3"/>
      <c r="G99" s="3"/>
      <c r="H99" s="3"/>
      <c r="I99" s="11"/>
      <c r="J99" s="3"/>
    </row>
    <row r="100" ht="15.75" customHeight="1">
      <c r="A100" s="3"/>
      <c r="B100" s="10"/>
      <c r="C100" s="10"/>
      <c r="D100" s="10"/>
      <c r="E100" s="3"/>
      <c r="F100" s="3"/>
      <c r="G100" s="3"/>
      <c r="H100" s="3"/>
      <c r="I100" s="11"/>
      <c r="J100" s="3"/>
    </row>
    <row r="101" ht="15.75" customHeight="1">
      <c r="A101" s="3"/>
      <c r="B101" s="10"/>
      <c r="C101" s="10"/>
      <c r="D101" s="10"/>
      <c r="E101" s="3"/>
      <c r="F101" s="3"/>
      <c r="G101" s="3"/>
      <c r="H101" s="3"/>
      <c r="I101" s="11"/>
      <c r="J101" s="3"/>
    </row>
    <row r="102" ht="15.75" customHeight="1">
      <c r="A102" s="3"/>
      <c r="B102" s="10"/>
      <c r="C102" s="10"/>
      <c r="D102" s="10"/>
      <c r="E102" s="3"/>
      <c r="F102" s="3"/>
      <c r="G102" s="3"/>
      <c r="H102" s="3"/>
      <c r="I102" s="11"/>
      <c r="J102" s="3"/>
    </row>
    <row r="103" ht="15.75" customHeight="1">
      <c r="A103" s="3"/>
      <c r="B103" s="10"/>
      <c r="C103" s="10"/>
      <c r="D103" s="10"/>
      <c r="E103" s="3"/>
      <c r="F103" s="3"/>
      <c r="G103" s="3"/>
      <c r="H103" s="3"/>
      <c r="I103" s="11"/>
      <c r="J103" s="3"/>
    </row>
    <row r="104" ht="15.75" customHeight="1">
      <c r="A104" s="3"/>
      <c r="B104" s="10"/>
      <c r="C104" s="10"/>
      <c r="D104" s="10"/>
      <c r="E104" s="3"/>
      <c r="F104" s="3"/>
      <c r="G104" s="3"/>
      <c r="H104" s="3"/>
      <c r="I104" s="11"/>
      <c r="J104" s="3"/>
    </row>
    <row r="105" ht="15.75" customHeight="1">
      <c r="A105" s="3"/>
      <c r="B105" s="15"/>
      <c r="C105" s="15"/>
      <c r="D105" s="15"/>
      <c r="E105" s="15"/>
      <c r="F105" s="15"/>
      <c r="G105" s="15"/>
      <c r="H105" s="15"/>
      <c r="I105" s="11"/>
      <c r="J105" s="15"/>
    </row>
    <row r="106" ht="15.75" customHeight="1">
      <c r="A106" s="3"/>
      <c r="B106" s="10"/>
      <c r="C106" s="10"/>
      <c r="D106" s="10"/>
      <c r="E106" s="3"/>
      <c r="F106" s="3"/>
      <c r="G106" s="3"/>
      <c r="H106" s="3"/>
      <c r="I106" s="11"/>
      <c r="J106" s="3"/>
    </row>
    <row r="107" ht="15.75" customHeight="1">
      <c r="A107" s="3"/>
      <c r="B107" s="10"/>
      <c r="C107" s="10"/>
      <c r="D107" s="10"/>
      <c r="E107" s="3"/>
      <c r="F107" s="3"/>
      <c r="G107" s="3"/>
      <c r="H107" s="3"/>
      <c r="I107" s="11"/>
      <c r="J107" s="3"/>
    </row>
    <row r="108" ht="15.75" customHeight="1">
      <c r="A108" s="3"/>
      <c r="B108" s="10"/>
      <c r="C108" s="10"/>
      <c r="D108" s="10"/>
      <c r="E108" s="3"/>
      <c r="F108" s="3"/>
      <c r="G108" s="3"/>
      <c r="H108" s="3"/>
      <c r="I108" s="11"/>
      <c r="J108" s="3"/>
    </row>
    <row r="109" ht="15.75" customHeight="1">
      <c r="A109" s="3"/>
      <c r="B109" s="10"/>
      <c r="C109" s="10"/>
      <c r="D109" s="10"/>
      <c r="E109" s="3"/>
      <c r="F109" s="3"/>
      <c r="G109" s="3"/>
      <c r="H109" s="3"/>
      <c r="I109" s="11"/>
      <c r="J109" s="3"/>
    </row>
    <row r="110" ht="15.75" customHeight="1">
      <c r="A110" s="3"/>
      <c r="B110" s="10"/>
      <c r="C110" s="10"/>
      <c r="D110" s="10"/>
      <c r="E110" s="3"/>
      <c r="F110" s="3"/>
      <c r="G110" s="3"/>
      <c r="H110" s="3"/>
      <c r="I110" s="11"/>
      <c r="J110" s="3"/>
    </row>
    <row r="111" ht="15.75" customHeight="1">
      <c r="A111" s="3"/>
      <c r="B111" s="10"/>
      <c r="C111" s="10"/>
      <c r="D111" s="10"/>
      <c r="E111" s="3"/>
      <c r="F111" s="3"/>
      <c r="G111" s="3"/>
      <c r="H111" s="3"/>
      <c r="I111" s="11"/>
      <c r="J111" s="3"/>
    </row>
    <row r="112" ht="15.75" customHeight="1">
      <c r="A112" s="3"/>
      <c r="B112" s="10"/>
      <c r="C112" s="10"/>
      <c r="D112" s="10"/>
      <c r="E112" s="3"/>
      <c r="F112" s="3"/>
      <c r="G112" s="3"/>
      <c r="H112" s="3"/>
      <c r="I112" s="11"/>
      <c r="J112" s="3"/>
    </row>
    <row r="113" ht="15.75" customHeight="1">
      <c r="A113" s="3"/>
      <c r="B113" s="15"/>
      <c r="C113" s="15"/>
      <c r="D113" s="15"/>
      <c r="E113" s="15"/>
      <c r="F113" s="15"/>
      <c r="G113" s="15"/>
      <c r="H113" s="15"/>
      <c r="I113" s="11"/>
      <c r="J113" s="15"/>
    </row>
    <row r="114" ht="15.75" customHeight="1">
      <c r="A114" s="3"/>
      <c r="B114" s="10"/>
      <c r="C114" s="10"/>
      <c r="D114" s="10"/>
      <c r="E114" s="3"/>
      <c r="F114" s="3"/>
      <c r="G114" s="3"/>
      <c r="H114" s="3"/>
      <c r="I114" s="11"/>
      <c r="J114" s="3"/>
    </row>
    <row r="115" ht="15.75" customHeight="1">
      <c r="A115" s="3"/>
      <c r="B115" s="10"/>
      <c r="C115" s="10"/>
      <c r="D115" s="10"/>
      <c r="E115" s="3"/>
      <c r="F115" s="3"/>
      <c r="G115" s="3"/>
      <c r="H115" s="3"/>
      <c r="I115" s="11"/>
      <c r="J115" s="3"/>
    </row>
    <row r="116" ht="15.75" customHeight="1">
      <c r="A116" s="3"/>
      <c r="B116" s="10"/>
      <c r="C116" s="10"/>
      <c r="D116" s="10"/>
      <c r="E116" s="3"/>
      <c r="F116" s="3"/>
      <c r="G116" s="3"/>
      <c r="H116" s="3"/>
      <c r="I116" s="11"/>
      <c r="J116" s="3"/>
    </row>
    <row r="117" ht="15.75" customHeight="1">
      <c r="A117" s="3"/>
      <c r="B117" s="10"/>
      <c r="C117" s="10"/>
      <c r="D117" s="10"/>
      <c r="E117" s="3"/>
      <c r="F117" s="3"/>
      <c r="G117" s="3"/>
      <c r="H117" s="3"/>
      <c r="I117" s="11"/>
      <c r="J117" s="3"/>
    </row>
    <row r="118" ht="15.75" customHeight="1">
      <c r="A118" s="3"/>
      <c r="B118" s="10"/>
      <c r="C118" s="10"/>
      <c r="D118" s="10"/>
      <c r="E118" s="3"/>
      <c r="F118" s="3"/>
      <c r="G118" s="3"/>
      <c r="H118" s="3"/>
      <c r="I118" s="11"/>
      <c r="J118" s="3"/>
    </row>
    <row r="119" ht="15.75" customHeight="1">
      <c r="A119" s="3"/>
      <c r="B119" s="10"/>
      <c r="C119" s="10"/>
      <c r="D119" s="10"/>
      <c r="E119" s="3"/>
      <c r="F119" s="3"/>
      <c r="G119" s="3"/>
      <c r="H119" s="3"/>
      <c r="I119" s="11"/>
      <c r="J119" s="3"/>
    </row>
    <row r="120" ht="15.75" customHeight="1">
      <c r="A120" s="3"/>
      <c r="B120" s="10"/>
      <c r="C120" s="10"/>
      <c r="D120" s="10"/>
      <c r="E120" s="3"/>
      <c r="F120" s="3"/>
      <c r="G120" s="3"/>
      <c r="H120" s="3"/>
      <c r="I120" s="11"/>
      <c r="J120" s="3"/>
    </row>
    <row r="121" ht="15.75" customHeight="1">
      <c r="A121" s="3"/>
      <c r="B121" s="10"/>
      <c r="C121" s="10"/>
      <c r="D121" s="10"/>
      <c r="E121" s="3"/>
      <c r="F121" s="3"/>
      <c r="G121" s="3"/>
      <c r="H121" s="3"/>
      <c r="I121" s="11"/>
      <c r="J121" s="3"/>
    </row>
    <row r="122" ht="15.75" customHeight="1">
      <c r="A122" s="3"/>
      <c r="B122" s="10"/>
      <c r="C122" s="10"/>
      <c r="D122" s="10"/>
      <c r="E122" s="3"/>
      <c r="F122" s="3"/>
      <c r="G122" s="3"/>
      <c r="H122" s="3"/>
      <c r="I122" s="11"/>
      <c r="J122" s="3"/>
    </row>
    <row r="123" ht="15.75" customHeight="1">
      <c r="A123" s="3"/>
      <c r="B123" s="10"/>
      <c r="C123" s="10"/>
      <c r="D123" s="10"/>
      <c r="E123" s="3"/>
      <c r="F123" s="3"/>
      <c r="G123" s="3"/>
      <c r="H123" s="3"/>
      <c r="I123" s="11"/>
      <c r="J123" s="3"/>
    </row>
    <row r="124" ht="15.75" customHeight="1">
      <c r="A124" s="3"/>
      <c r="B124" s="10"/>
      <c r="C124" s="10"/>
      <c r="D124" s="10"/>
      <c r="E124" s="3"/>
      <c r="F124" s="3"/>
      <c r="G124" s="3"/>
      <c r="H124" s="3"/>
      <c r="I124" s="11"/>
      <c r="J124" s="3"/>
    </row>
    <row r="125" ht="15.75" customHeight="1">
      <c r="A125" s="3"/>
      <c r="B125" s="10"/>
      <c r="C125" s="10"/>
      <c r="D125" s="10"/>
      <c r="E125" s="3"/>
      <c r="F125" s="3"/>
      <c r="G125" s="3"/>
      <c r="H125" s="3"/>
      <c r="I125" s="11"/>
      <c r="J125" s="3"/>
    </row>
    <row r="126" ht="15.75" customHeight="1">
      <c r="A126" s="3"/>
      <c r="B126" s="10"/>
      <c r="C126" s="10"/>
      <c r="D126" s="10"/>
      <c r="E126" s="3"/>
      <c r="F126" s="3"/>
      <c r="G126" s="3"/>
      <c r="H126" s="3"/>
      <c r="I126" s="11"/>
      <c r="J126" s="3"/>
    </row>
    <row r="127" ht="15.75" customHeight="1">
      <c r="A127" s="3"/>
      <c r="B127" s="10"/>
      <c r="C127" s="10"/>
      <c r="D127" s="10"/>
      <c r="E127" s="3"/>
      <c r="F127" s="3"/>
      <c r="G127" s="3"/>
      <c r="H127" s="3"/>
      <c r="I127" s="11"/>
      <c r="J127" s="3"/>
    </row>
    <row r="128" ht="15.75" customHeight="1">
      <c r="A128" s="3"/>
      <c r="B128" s="10"/>
      <c r="C128" s="10"/>
      <c r="D128" s="10"/>
      <c r="E128" s="3"/>
      <c r="F128" s="3"/>
      <c r="G128" s="3"/>
      <c r="H128" s="3"/>
      <c r="I128" s="11"/>
      <c r="J128" s="3"/>
    </row>
    <row r="129" ht="15.75" customHeight="1">
      <c r="A129" s="3"/>
      <c r="B129" s="10"/>
      <c r="C129" s="10"/>
      <c r="D129" s="10"/>
      <c r="E129" s="3"/>
      <c r="F129" s="3"/>
      <c r="G129" s="3"/>
      <c r="H129" s="3"/>
      <c r="I129" s="11"/>
      <c r="J129" s="3"/>
    </row>
    <row r="130" ht="15.75" customHeight="1">
      <c r="A130" s="3"/>
      <c r="B130" s="10"/>
      <c r="C130" s="10"/>
      <c r="D130" s="10"/>
      <c r="E130" s="3"/>
      <c r="F130" s="3"/>
      <c r="G130" s="3"/>
      <c r="H130" s="3"/>
      <c r="I130" s="11"/>
      <c r="J130" s="3"/>
    </row>
    <row r="131" ht="15.75" customHeight="1">
      <c r="A131" s="3"/>
      <c r="B131" s="10"/>
      <c r="C131" s="10"/>
      <c r="D131" s="10"/>
      <c r="E131" s="3"/>
      <c r="F131" s="3"/>
      <c r="G131" s="3"/>
      <c r="H131" s="3"/>
      <c r="I131" s="11"/>
      <c r="J131" s="3"/>
    </row>
    <row r="132" ht="17.25" customHeight="1">
      <c r="A132" s="3"/>
      <c r="B132" s="10"/>
      <c r="C132" s="10"/>
      <c r="D132" s="10"/>
      <c r="E132" s="3"/>
      <c r="F132" s="3"/>
      <c r="G132" s="3"/>
      <c r="H132" s="3"/>
      <c r="I132" s="11"/>
      <c r="J132" s="3"/>
    </row>
    <row r="133" ht="15.75" customHeight="1">
      <c r="A133" s="3"/>
      <c r="B133" s="10"/>
      <c r="C133" s="10"/>
      <c r="D133" s="10"/>
      <c r="E133" s="3"/>
      <c r="F133" s="3"/>
      <c r="G133" s="3"/>
      <c r="H133" s="3"/>
      <c r="I133" s="11"/>
      <c r="J133" s="3"/>
    </row>
    <row r="134" ht="15.75" customHeight="1">
      <c r="A134" s="3"/>
      <c r="B134" s="10"/>
      <c r="C134" s="10"/>
      <c r="D134" s="10"/>
      <c r="E134" s="3"/>
      <c r="F134" s="3"/>
      <c r="G134" s="3"/>
      <c r="H134" s="3"/>
      <c r="I134" s="11"/>
      <c r="J134" s="3"/>
    </row>
    <row r="135" ht="15.75" customHeight="1">
      <c r="A135" s="3"/>
      <c r="B135" s="10"/>
      <c r="C135" s="10"/>
      <c r="D135" s="10"/>
      <c r="E135" s="3"/>
      <c r="F135" s="3"/>
      <c r="G135" s="3"/>
      <c r="H135" s="3"/>
      <c r="I135" s="11"/>
      <c r="J135" s="3"/>
    </row>
    <row r="136" ht="15.75" customHeight="1">
      <c r="A136" s="3"/>
      <c r="B136" s="10"/>
      <c r="C136" s="10"/>
      <c r="D136" s="10"/>
      <c r="E136" s="3"/>
      <c r="F136" s="3"/>
      <c r="G136" s="3"/>
      <c r="H136" s="3"/>
      <c r="I136" s="11"/>
      <c r="J136" s="3"/>
    </row>
    <row r="137" ht="15.75" customHeight="1">
      <c r="A137" s="3"/>
      <c r="B137" s="10"/>
      <c r="C137" s="10"/>
      <c r="D137" s="10"/>
      <c r="E137" s="3"/>
      <c r="F137" s="3"/>
      <c r="G137" s="3"/>
      <c r="H137" s="3"/>
      <c r="I137" s="11"/>
      <c r="J137" s="3"/>
    </row>
    <row r="138" ht="15.75" customHeight="1">
      <c r="A138" s="3"/>
      <c r="B138" s="10"/>
      <c r="C138" s="10"/>
      <c r="D138" s="10"/>
      <c r="E138" s="3"/>
      <c r="F138" s="3"/>
      <c r="G138" s="3"/>
      <c r="H138" s="3"/>
      <c r="I138" s="11"/>
      <c r="J138" s="3"/>
    </row>
    <row r="139" ht="15.75" customHeight="1">
      <c r="A139" s="3"/>
      <c r="B139" s="36"/>
      <c r="C139" s="15"/>
      <c r="D139" s="15"/>
      <c r="E139" s="15"/>
      <c r="F139" s="15"/>
      <c r="G139" s="15"/>
      <c r="H139" s="15"/>
      <c r="I139" s="11"/>
      <c r="J139" s="15"/>
    </row>
    <row r="140" ht="15.75" customHeight="1">
      <c r="A140" s="3"/>
      <c r="B140" s="10"/>
      <c r="C140" s="10"/>
      <c r="D140" s="10"/>
      <c r="E140" s="3"/>
      <c r="F140" s="3"/>
      <c r="G140" s="3"/>
      <c r="H140" s="3"/>
      <c r="I140" s="11"/>
      <c r="J140" s="3"/>
    </row>
    <row r="141" ht="15.75" customHeight="1">
      <c r="A141" s="3"/>
      <c r="B141" s="10"/>
      <c r="C141" s="10"/>
      <c r="D141" s="10"/>
      <c r="E141" s="3"/>
      <c r="F141" s="3"/>
      <c r="G141" s="3"/>
      <c r="H141" s="3"/>
      <c r="I141" s="11"/>
      <c r="J141" s="3"/>
    </row>
    <row r="142" ht="15.75" customHeight="1">
      <c r="A142" s="3"/>
      <c r="B142" s="10"/>
      <c r="C142" s="10"/>
      <c r="D142" s="10"/>
      <c r="E142" s="3"/>
      <c r="F142" s="3"/>
      <c r="G142" s="3"/>
      <c r="H142" s="3"/>
      <c r="I142" s="11"/>
      <c r="J142" s="3"/>
    </row>
    <row r="143" ht="15.75" customHeight="1">
      <c r="A143" s="3"/>
      <c r="B143" s="10"/>
      <c r="C143" s="10"/>
      <c r="D143" s="10"/>
      <c r="E143" s="3"/>
      <c r="F143" s="3"/>
      <c r="G143" s="3"/>
      <c r="H143" s="3"/>
      <c r="I143" s="11"/>
      <c r="J143" s="3"/>
    </row>
    <row r="144" ht="15.75" customHeight="1">
      <c r="A144" s="3"/>
      <c r="B144" s="10"/>
      <c r="C144" s="10"/>
      <c r="D144" s="10"/>
      <c r="E144" s="3"/>
      <c r="F144" s="3"/>
      <c r="G144" s="3"/>
      <c r="H144" s="3"/>
      <c r="I144" s="11"/>
      <c r="J144" s="3"/>
    </row>
    <row r="145" ht="15.75" customHeight="1">
      <c r="A145" s="3"/>
      <c r="B145" s="37"/>
      <c r="C145" s="15"/>
      <c r="D145" s="15"/>
      <c r="E145" s="15"/>
      <c r="F145" s="15"/>
      <c r="G145" s="15"/>
      <c r="H145" s="15"/>
      <c r="I145" s="11"/>
      <c r="J145" s="15"/>
    </row>
    <row r="146" ht="15.75" customHeight="1">
      <c r="A146" s="3"/>
      <c r="B146" s="10"/>
      <c r="C146" s="10"/>
      <c r="D146" s="10"/>
      <c r="E146" s="3"/>
      <c r="F146" s="3"/>
      <c r="G146" s="3"/>
      <c r="H146" s="3"/>
      <c r="I146" s="11"/>
      <c r="J146" s="3"/>
    </row>
    <row r="147" ht="15.75" customHeight="1">
      <c r="A147" s="3"/>
      <c r="B147" s="10"/>
      <c r="C147" s="10"/>
      <c r="D147" s="10"/>
      <c r="E147" s="3"/>
      <c r="F147" s="3"/>
      <c r="G147" s="3"/>
      <c r="H147" s="3"/>
      <c r="I147" s="11"/>
      <c r="J147" s="3"/>
    </row>
    <row r="148" ht="15.75" customHeight="1">
      <c r="A148" s="3"/>
      <c r="B148" s="10"/>
      <c r="C148" s="10"/>
      <c r="D148" s="10"/>
      <c r="E148" s="3"/>
      <c r="F148" s="3"/>
      <c r="G148" s="3"/>
      <c r="H148" s="3"/>
      <c r="I148" s="11"/>
      <c r="J148" s="3"/>
    </row>
    <row r="149" ht="15.75" customHeight="1">
      <c r="A149" s="3"/>
      <c r="B149" s="10"/>
      <c r="C149" s="10"/>
      <c r="D149" s="10"/>
      <c r="E149" s="3"/>
      <c r="F149" s="3"/>
      <c r="G149" s="3"/>
      <c r="H149" s="3"/>
      <c r="I149" s="11"/>
      <c r="J149" s="3"/>
    </row>
    <row r="150" ht="15.75" customHeight="1">
      <c r="A150" s="3"/>
      <c r="B150" s="10"/>
      <c r="C150" s="10"/>
      <c r="D150" s="10"/>
      <c r="E150" s="3"/>
      <c r="F150" s="3"/>
      <c r="G150" s="3"/>
      <c r="H150" s="3"/>
      <c r="I150" s="11"/>
      <c r="J150" s="3"/>
    </row>
    <row r="151" ht="15.75" customHeight="1">
      <c r="A151" s="3"/>
      <c r="B151" s="10"/>
      <c r="C151" s="10"/>
      <c r="D151" s="10"/>
      <c r="E151" s="3"/>
      <c r="F151" s="3"/>
      <c r="G151" s="3"/>
      <c r="H151" s="3"/>
      <c r="I151" s="11"/>
      <c r="J151" s="3"/>
    </row>
    <row r="152" ht="15.75" customHeight="1">
      <c r="A152" s="3"/>
      <c r="B152" s="10"/>
      <c r="C152" s="10"/>
      <c r="D152" s="10"/>
      <c r="E152" s="3"/>
      <c r="F152" s="3"/>
      <c r="G152" s="3"/>
      <c r="H152" s="3"/>
      <c r="I152" s="11"/>
      <c r="J152" s="3"/>
    </row>
    <row r="153" ht="15.75" customHeight="1">
      <c r="A153" s="3"/>
      <c r="B153" s="10"/>
      <c r="C153" s="10"/>
      <c r="D153" s="10"/>
      <c r="E153" s="3"/>
      <c r="F153" s="3"/>
      <c r="G153" s="3"/>
      <c r="H153" s="3"/>
      <c r="I153" s="11"/>
      <c r="J153" s="3"/>
    </row>
    <row r="154" ht="15.75" customHeight="1">
      <c r="A154" s="3"/>
      <c r="B154" s="10"/>
      <c r="C154" s="10"/>
      <c r="D154" s="10"/>
      <c r="E154" s="3"/>
      <c r="F154" s="3"/>
      <c r="G154" s="3"/>
      <c r="H154" s="3"/>
      <c r="I154" s="11"/>
      <c r="J154" s="3"/>
    </row>
    <row r="155" ht="15.75" customHeight="1">
      <c r="A155" s="3"/>
      <c r="B155" s="10"/>
      <c r="C155" s="10"/>
      <c r="D155" s="10"/>
      <c r="E155" s="3"/>
      <c r="F155" s="3"/>
      <c r="G155" s="3"/>
      <c r="H155" s="3"/>
      <c r="I155" s="11"/>
      <c r="J155" s="3"/>
    </row>
    <row r="156" ht="15.75" customHeight="1">
      <c r="A156" s="3"/>
      <c r="B156" s="10"/>
      <c r="C156" s="10"/>
      <c r="D156" s="10"/>
      <c r="E156" s="3"/>
      <c r="F156" s="3"/>
      <c r="G156" s="3"/>
      <c r="H156" s="3"/>
      <c r="I156" s="11"/>
      <c r="J156" s="3"/>
    </row>
    <row r="157" ht="15.75" customHeight="1">
      <c r="A157" s="3"/>
      <c r="B157" s="20"/>
      <c r="C157" s="10"/>
      <c r="D157" s="10"/>
      <c r="E157" s="3"/>
      <c r="F157" s="3"/>
      <c r="G157" s="3"/>
      <c r="H157" s="3"/>
      <c r="I157" s="11"/>
      <c r="J157" s="3"/>
    </row>
    <row r="158" ht="15.75" customHeight="1">
      <c r="A158" s="3"/>
      <c r="B158" s="10"/>
      <c r="C158" s="10"/>
      <c r="D158" s="10"/>
      <c r="E158" s="3"/>
      <c r="F158" s="3"/>
      <c r="G158" s="3"/>
      <c r="H158" s="3"/>
      <c r="I158" s="11"/>
      <c r="J158" s="3"/>
    </row>
    <row r="159" ht="15.75" customHeight="1">
      <c r="A159" s="3"/>
      <c r="B159" s="10"/>
      <c r="C159" s="10"/>
      <c r="D159" s="10"/>
      <c r="E159" s="3"/>
      <c r="F159" s="3"/>
      <c r="G159" s="3"/>
      <c r="H159" s="3"/>
      <c r="I159" s="11"/>
      <c r="J159" s="3"/>
    </row>
    <row r="160" ht="15.75" customHeight="1">
      <c r="A160" s="3"/>
      <c r="B160" s="10"/>
      <c r="C160" s="10"/>
      <c r="D160" s="10"/>
      <c r="E160" s="3"/>
      <c r="F160" s="3"/>
      <c r="G160" s="3"/>
      <c r="H160" s="3"/>
      <c r="I160" s="11"/>
      <c r="J160" s="3"/>
    </row>
    <row r="161" ht="15.75" customHeight="1">
      <c r="A161" s="3"/>
      <c r="B161" s="10"/>
      <c r="C161" s="10"/>
      <c r="D161" s="10"/>
      <c r="E161" s="3"/>
      <c r="F161" s="3"/>
      <c r="G161" s="3"/>
      <c r="H161" s="3"/>
      <c r="I161" s="11"/>
      <c r="J161" s="3"/>
    </row>
    <row r="162" ht="15.75" customHeight="1">
      <c r="B162" s="23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>
      <c r="B172" s="24"/>
    </row>
    <row r="173" ht="15.75" customHeight="1"/>
    <row r="174" ht="15.75" customHeight="1">
      <c r="B174" s="23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3">
        <v>7.0</v>
      </c>
      <c r="B1" s="10" t="s">
        <v>47</v>
      </c>
      <c r="C1" s="10" t="s">
        <v>13</v>
      </c>
      <c r="D1" s="10" t="s">
        <v>14</v>
      </c>
      <c r="E1" s="3">
        <v>3.0</v>
      </c>
      <c r="F1" s="3">
        <v>3.0</v>
      </c>
      <c r="G1" s="13">
        <v>3.0</v>
      </c>
      <c r="H1" s="3">
        <v>-1.0</v>
      </c>
      <c r="I1" s="21">
        <f t="shared" ref="I1:I27" si="1">sum(E1,F1)</f>
        <v>6</v>
      </c>
      <c r="J1" s="3">
        <v>30.0</v>
      </c>
    </row>
    <row r="2" ht="15.75" customHeight="1">
      <c r="A2" s="3">
        <v>76.0</v>
      </c>
      <c r="B2" s="10" t="s">
        <v>60</v>
      </c>
      <c r="C2" s="10" t="s">
        <v>13</v>
      </c>
      <c r="D2" s="10" t="s">
        <v>14</v>
      </c>
      <c r="E2" s="3">
        <v>3.0</v>
      </c>
      <c r="F2" s="3">
        <v>3.0</v>
      </c>
      <c r="G2" s="13">
        <v>3.0</v>
      </c>
      <c r="H2" s="3">
        <v>1.0</v>
      </c>
      <c r="I2" s="21">
        <f t="shared" si="1"/>
        <v>6</v>
      </c>
      <c r="J2" s="3">
        <v>30.0</v>
      </c>
    </row>
    <row r="3" ht="15.75" customHeight="1">
      <c r="A3" s="3">
        <v>73.0</v>
      </c>
      <c r="B3" s="10" t="s">
        <v>35</v>
      </c>
      <c r="C3" s="10" t="s">
        <v>11</v>
      </c>
      <c r="D3" s="10" t="s">
        <v>14</v>
      </c>
      <c r="E3" s="3">
        <v>4.0</v>
      </c>
      <c r="F3" s="3">
        <v>4.0</v>
      </c>
      <c r="G3" s="13">
        <v>2.0</v>
      </c>
      <c r="H3" s="3">
        <v>1.0</v>
      </c>
      <c r="I3" s="21">
        <f t="shared" si="1"/>
        <v>8</v>
      </c>
      <c r="J3" s="3">
        <v>40.0</v>
      </c>
    </row>
    <row r="4" ht="15.75" customHeight="1">
      <c r="A4" s="3">
        <v>52.0</v>
      </c>
      <c r="B4" s="10" t="s">
        <v>56</v>
      </c>
      <c r="C4" s="10" t="s">
        <v>13</v>
      </c>
      <c r="D4" s="10" t="s">
        <v>14</v>
      </c>
      <c r="E4" s="3">
        <v>4.0</v>
      </c>
      <c r="F4" s="3">
        <v>4.0</v>
      </c>
      <c r="G4" s="13">
        <v>3.0</v>
      </c>
      <c r="H4" s="3">
        <v>-1.0</v>
      </c>
      <c r="I4" s="21">
        <f t="shared" si="1"/>
        <v>8</v>
      </c>
      <c r="J4" s="3">
        <v>40.0</v>
      </c>
      <c r="K4" s="33" t="s">
        <v>178</v>
      </c>
      <c r="L4" s="33">
        <v>90.0</v>
      </c>
    </row>
    <row r="5" ht="15.75" customHeight="1">
      <c r="A5" s="3">
        <v>126.0</v>
      </c>
      <c r="B5" s="10" t="s">
        <v>69</v>
      </c>
      <c r="C5" s="10" t="s">
        <v>13</v>
      </c>
      <c r="D5" s="10" t="s">
        <v>14</v>
      </c>
      <c r="E5" s="3">
        <v>4.0</v>
      </c>
      <c r="F5" s="3">
        <v>4.0</v>
      </c>
      <c r="G5" s="13">
        <v>3.0</v>
      </c>
      <c r="H5" s="3">
        <v>1.0</v>
      </c>
      <c r="I5" s="21">
        <f t="shared" si="1"/>
        <v>8</v>
      </c>
      <c r="J5" s="3">
        <v>50.0</v>
      </c>
    </row>
    <row r="6" ht="15.75" customHeight="1">
      <c r="A6" s="3">
        <v>9.0</v>
      </c>
      <c r="B6" s="10" t="s">
        <v>25</v>
      </c>
      <c r="C6" s="10" t="s">
        <v>13</v>
      </c>
      <c r="D6" s="10" t="s">
        <v>14</v>
      </c>
      <c r="E6" s="3">
        <v>4.0</v>
      </c>
      <c r="F6" s="3">
        <v>5.0</v>
      </c>
      <c r="G6" s="13">
        <v>2.0</v>
      </c>
      <c r="H6" s="3">
        <v>-1.0</v>
      </c>
      <c r="I6" s="21">
        <f t="shared" si="1"/>
        <v>9</v>
      </c>
      <c r="J6" s="3">
        <v>50.0</v>
      </c>
    </row>
    <row r="7" ht="15.75" customHeight="1">
      <c r="A7" s="3">
        <v>123.0</v>
      </c>
      <c r="B7" s="10" t="s">
        <v>68</v>
      </c>
      <c r="C7" s="10" t="s">
        <v>13</v>
      </c>
      <c r="D7" s="10" t="s">
        <v>14</v>
      </c>
      <c r="E7" s="3">
        <v>4.0</v>
      </c>
      <c r="F7" s="3">
        <v>5.0</v>
      </c>
      <c r="G7" s="13">
        <v>3.0</v>
      </c>
      <c r="H7" s="3">
        <v>1.0</v>
      </c>
      <c r="I7" s="21">
        <f t="shared" si="1"/>
        <v>9</v>
      </c>
      <c r="J7" s="3">
        <v>50.0</v>
      </c>
    </row>
    <row r="8" ht="15.75" customHeight="1">
      <c r="A8" s="3">
        <v>137.0</v>
      </c>
      <c r="B8" s="10" t="s">
        <v>71</v>
      </c>
      <c r="C8" s="10" t="s">
        <v>13</v>
      </c>
      <c r="D8" s="10" t="s">
        <v>14</v>
      </c>
      <c r="E8" s="3">
        <v>6.0</v>
      </c>
      <c r="F8" s="3">
        <v>3.0</v>
      </c>
      <c r="G8" s="13">
        <v>3.0</v>
      </c>
      <c r="H8" s="3">
        <v>-1.0</v>
      </c>
      <c r="I8" s="21">
        <f t="shared" si="1"/>
        <v>9</v>
      </c>
      <c r="J8" s="3">
        <v>60.0</v>
      </c>
    </row>
    <row r="9" ht="15.75" customHeight="1">
      <c r="A9" s="3">
        <v>25.0</v>
      </c>
      <c r="B9" s="10" t="s">
        <v>28</v>
      </c>
      <c r="C9" s="10" t="s">
        <v>13</v>
      </c>
      <c r="D9" s="10" t="s">
        <v>14</v>
      </c>
      <c r="E9" s="3">
        <v>5.0</v>
      </c>
      <c r="F9" s="3">
        <v>5.0</v>
      </c>
      <c r="G9" s="13">
        <v>2.0</v>
      </c>
      <c r="H9" s="3">
        <v>1.0</v>
      </c>
      <c r="I9" s="21">
        <f t="shared" si="1"/>
        <v>10</v>
      </c>
      <c r="J9" s="3">
        <v>60.0</v>
      </c>
    </row>
    <row r="10" ht="15.75" customHeight="1">
      <c r="A10" s="3">
        <v>3.0</v>
      </c>
      <c r="B10" s="10" t="s">
        <v>46</v>
      </c>
      <c r="C10" s="10" t="s">
        <v>13</v>
      </c>
      <c r="D10" s="10" t="s">
        <v>14</v>
      </c>
      <c r="E10" s="3">
        <v>5.0</v>
      </c>
      <c r="F10" s="3">
        <v>5.0</v>
      </c>
      <c r="G10" s="13">
        <v>3.0</v>
      </c>
      <c r="H10" s="3">
        <v>1.0</v>
      </c>
      <c r="I10" s="21">
        <f t="shared" si="1"/>
        <v>10</v>
      </c>
      <c r="J10" s="3">
        <v>50.0</v>
      </c>
      <c r="L10" s="33" t="s">
        <v>177</v>
      </c>
    </row>
    <row r="11" ht="15.75" customHeight="1">
      <c r="A11" s="3">
        <v>159.0</v>
      </c>
      <c r="B11" s="10" t="s">
        <v>40</v>
      </c>
      <c r="C11" s="10" t="s">
        <v>13</v>
      </c>
      <c r="D11" s="10" t="s">
        <v>14</v>
      </c>
      <c r="E11" s="3">
        <v>5.0</v>
      </c>
      <c r="F11" s="3">
        <v>6.0</v>
      </c>
      <c r="G11" s="13">
        <v>2.0</v>
      </c>
      <c r="H11" s="3">
        <v>1.0</v>
      </c>
      <c r="I11" s="21">
        <f t="shared" si="1"/>
        <v>11</v>
      </c>
      <c r="J11" s="3">
        <v>60.0</v>
      </c>
    </row>
    <row r="12" ht="15.75" customHeight="1">
      <c r="A12" s="3">
        <v>40.0</v>
      </c>
      <c r="B12" s="10" t="s">
        <v>53</v>
      </c>
      <c r="C12" s="10" t="s">
        <v>13</v>
      </c>
      <c r="D12" s="10" t="s">
        <v>14</v>
      </c>
      <c r="E12" s="3">
        <v>6.0</v>
      </c>
      <c r="F12" s="3">
        <v>5.0</v>
      </c>
      <c r="G12" s="13">
        <v>3.0</v>
      </c>
      <c r="H12" s="3">
        <v>-1.0</v>
      </c>
      <c r="I12" s="21">
        <f t="shared" si="1"/>
        <v>11</v>
      </c>
      <c r="J12" s="3">
        <v>60.0</v>
      </c>
    </row>
    <row r="13" ht="15.75" customHeight="1">
      <c r="A13" s="3">
        <v>59.0</v>
      </c>
      <c r="B13" s="10" t="s">
        <v>57</v>
      </c>
      <c r="C13" s="10" t="s">
        <v>13</v>
      </c>
      <c r="D13" s="10" t="s">
        <v>14</v>
      </c>
      <c r="E13" s="3">
        <v>5.0</v>
      </c>
      <c r="F13" s="3">
        <v>6.0</v>
      </c>
      <c r="G13" s="13">
        <v>3.0</v>
      </c>
      <c r="H13" s="3">
        <v>1.0</v>
      </c>
      <c r="I13" s="21">
        <f t="shared" si="1"/>
        <v>11</v>
      </c>
      <c r="J13" s="3">
        <v>60.0</v>
      </c>
    </row>
    <row r="14" ht="15.75" customHeight="1">
      <c r="A14" s="3">
        <v>75.0</v>
      </c>
      <c r="B14" s="10" t="s">
        <v>59</v>
      </c>
      <c r="C14" s="10" t="s">
        <v>13</v>
      </c>
      <c r="D14" s="10" t="s">
        <v>14</v>
      </c>
      <c r="E14" s="3">
        <v>6.0</v>
      </c>
      <c r="F14" s="3">
        <v>5.0</v>
      </c>
      <c r="G14" s="13">
        <v>3.0</v>
      </c>
      <c r="H14" s="3">
        <v>-1.0</v>
      </c>
      <c r="I14" s="21">
        <f t="shared" si="1"/>
        <v>11</v>
      </c>
      <c r="J14" s="3">
        <v>60.0</v>
      </c>
    </row>
    <row r="15" ht="15.75" customHeight="1">
      <c r="A15" s="3">
        <v>61.0</v>
      </c>
      <c r="B15" s="10" t="s">
        <v>31</v>
      </c>
      <c r="C15" s="10" t="s">
        <v>11</v>
      </c>
      <c r="D15" s="10" t="s">
        <v>14</v>
      </c>
      <c r="E15" s="3">
        <v>6.0</v>
      </c>
      <c r="F15" s="3">
        <v>6.0</v>
      </c>
      <c r="G15" s="13">
        <v>2.0</v>
      </c>
      <c r="H15" s="3">
        <v>1.0</v>
      </c>
      <c r="I15" s="21">
        <f t="shared" si="1"/>
        <v>12</v>
      </c>
      <c r="J15" s="3">
        <v>60.0</v>
      </c>
    </row>
    <row r="16" ht="15.75" customHeight="1">
      <c r="A16" s="3">
        <v>24.0</v>
      </c>
      <c r="B16" s="10" t="s">
        <v>27</v>
      </c>
      <c r="C16" s="10" t="s">
        <v>13</v>
      </c>
      <c r="D16" s="10" t="s">
        <v>14</v>
      </c>
      <c r="E16" s="3">
        <v>6.0</v>
      </c>
      <c r="F16" s="3">
        <v>6.0</v>
      </c>
      <c r="G16" s="13">
        <v>2.0</v>
      </c>
      <c r="H16" s="3">
        <v>1.0</v>
      </c>
      <c r="I16" s="21">
        <f t="shared" si="1"/>
        <v>12</v>
      </c>
      <c r="J16" s="3">
        <v>80.0</v>
      </c>
    </row>
    <row r="17" ht="15.75" customHeight="1">
      <c r="A17" s="3">
        <v>34.0</v>
      </c>
      <c r="B17" s="10" t="s">
        <v>51</v>
      </c>
      <c r="C17" s="10" t="s">
        <v>11</v>
      </c>
      <c r="D17" s="10" t="s">
        <v>14</v>
      </c>
      <c r="E17" s="3">
        <v>7.0</v>
      </c>
      <c r="F17" s="3">
        <v>5.0</v>
      </c>
      <c r="G17" s="13">
        <v>3.0</v>
      </c>
      <c r="H17" s="3">
        <v>1.0</v>
      </c>
      <c r="I17" s="21">
        <f t="shared" si="1"/>
        <v>12</v>
      </c>
      <c r="J17" s="3">
        <v>80.0</v>
      </c>
    </row>
    <row r="18" ht="15.75" customHeight="1">
      <c r="A18" s="3">
        <v>39.0</v>
      </c>
      <c r="B18" s="10" t="s">
        <v>52</v>
      </c>
      <c r="C18" s="10" t="s">
        <v>13</v>
      </c>
      <c r="D18" s="10" t="s">
        <v>14</v>
      </c>
      <c r="E18" s="3">
        <v>6.0</v>
      </c>
      <c r="F18" s="3">
        <v>6.0</v>
      </c>
      <c r="G18" s="13">
        <v>3.0</v>
      </c>
      <c r="H18" s="3">
        <v>-1.0</v>
      </c>
      <c r="I18" s="21">
        <f t="shared" si="1"/>
        <v>12</v>
      </c>
      <c r="J18" s="3">
        <v>60.0</v>
      </c>
    </row>
    <row r="19" ht="15.75" customHeight="1">
      <c r="A19" s="3">
        <v>110.0</v>
      </c>
      <c r="B19" s="10" t="s">
        <v>65</v>
      </c>
      <c r="C19" s="10" t="s">
        <v>13</v>
      </c>
      <c r="D19" s="10" t="s">
        <v>14</v>
      </c>
      <c r="E19" s="3">
        <v>6.0</v>
      </c>
      <c r="F19" s="3">
        <v>6.0</v>
      </c>
      <c r="G19" s="13">
        <v>3.0</v>
      </c>
      <c r="H19" s="3">
        <v>-1.0</v>
      </c>
      <c r="I19" s="21">
        <f t="shared" si="1"/>
        <v>12</v>
      </c>
      <c r="J19" s="3">
        <v>60.0</v>
      </c>
    </row>
    <row r="20" ht="15.75" customHeight="1">
      <c r="A20" s="3">
        <v>114.0</v>
      </c>
      <c r="B20" s="10" t="s">
        <v>44</v>
      </c>
      <c r="C20" s="10" t="s">
        <v>13</v>
      </c>
      <c r="D20" s="10" t="s">
        <v>11</v>
      </c>
      <c r="E20" s="3">
        <v>7.0</v>
      </c>
      <c r="F20" s="3">
        <v>5.0</v>
      </c>
      <c r="G20" s="13">
        <v>3.0</v>
      </c>
      <c r="H20" s="3">
        <v>-1.0</v>
      </c>
      <c r="I20" s="21">
        <f t="shared" si="1"/>
        <v>12</v>
      </c>
      <c r="J20" s="3">
        <v>80.0</v>
      </c>
    </row>
    <row r="21" ht="15.75" customHeight="1">
      <c r="A21" s="3">
        <v>46.0</v>
      </c>
      <c r="B21" s="10" t="s">
        <v>29</v>
      </c>
      <c r="C21" s="10" t="s">
        <v>11</v>
      </c>
      <c r="D21" s="10" t="s">
        <v>14</v>
      </c>
      <c r="E21" s="3">
        <v>6.0</v>
      </c>
      <c r="F21" s="3">
        <v>7.0</v>
      </c>
      <c r="G21" s="13">
        <v>2.0</v>
      </c>
      <c r="H21" s="3">
        <v>-1.0</v>
      </c>
      <c r="I21" s="21">
        <f t="shared" si="1"/>
        <v>13</v>
      </c>
      <c r="J21" s="3">
        <v>60.0</v>
      </c>
    </row>
    <row r="22" ht="15.75" customHeight="1">
      <c r="A22" s="3">
        <v>4.0</v>
      </c>
      <c r="B22" s="10" t="s">
        <v>16</v>
      </c>
      <c r="C22" s="10" t="s">
        <v>13</v>
      </c>
      <c r="D22" s="10" t="s">
        <v>14</v>
      </c>
      <c r="E22" s="3">
        <v>8.0</v>
      </c>
      <c r="F22" s="3">
        <v>6.0</v>
      </c>
      <c r="G22" s="13">
        <v>1.0</v>
      </c>
      <c r="H22" s="3">
        <v>-1.0</v>
      </c>
      <c r="I22" s="21">
        <f t="shared" si="1"/>
        <v>14</v>
      </c>
      <c r="J22" s="3">
        <v>80.0</v>
      </c>
    </row>
    <row r="23" ht="15.75" customHeight="1">
      <c r="A23" s="3">
        <v>82.0</v>
      </c>
      <c r="B23" s="10" t="s">
        <v>61</v>
      </c>
      <c r="C23" s="10" t="s">
        <v>11</v>
      </c>
      <c r="D23" s="10" t="s">
        <v>14</v>
      </c>
      <c r="E23" s="3">
        <v>6.0</v>
      </c>
      <c r="F23" s="3">
        <v>8.0</v>
      </c>
      <c r="G23" s="13">
        <v>3.0</v>
      </c>
      <c r="H23" s="3">
        <v>-1.0</v>
      </c>
      <c r="I23" s="21">
        <f t="shared" si="1"/>
        <v>14</v>
      </c>
      <c r="J23" s="3">
        <v>80.0</v>
      </c>
    </row>
    <row r="24" ht="15.75" customHeight="1">
      <c r="A24" s="3">
        <v>117.0</v>
      </c>
      <c r="B24" s="10" t="s">
        <v>67</v>
      </c>
      <c r="C24" s="10" t="s">
        <v>11</v>
      </c>
      <c r="D24" s="10" t="s">
        <v>14</v>
      </c>
      <c r="E24" s="3">
        <v>7.0</v>
      </c>
      <c r="F24" s="3">
        <v>7.0</v>
      </c>
      <c r="G24" s="13">
        <v>3.0</v>
      </c>
      <c r="H24" s="3">
        <v>-1.0</v>
      </c>
      <c r="I24" s="21">
        <f t="shared" si="1"/>
        <v>14</v>
      </c>
      <c r="J24" s="3">
        <v>80.0</v>
      </c>
    </row>
    <row r="25" ht="15.75" customHeight="1">
      <c r="A25" s="3">
        <v>62.0</v>
      </c>
      <c r="B25" s="10" t="s">
        <v>32</v>
      </c>
      <c r="C25" s="10" t="s">
        <v>13</v>
      </c>
      <c r="D25" s="10" t="s">
        <v>14</v>
      </c>
      <c r="E25" s="3">
        <v>8.0</v>
      </c>
      <c r="F25" s="3">
        <v>7.0</v>
      </c>
      <c r="G25" s="13">
        <v>2.0</v>
      </c>
      <c r="H25" s="3">
        <v>-1.0</v>
      </c>
      <c r="I25" s="21">
        <f t="shared" si="1"/>
        <v>15</v>
      </c>
      <c r="J25" s="3">
        <v>80.0</v>
      </c>
    </row>
    <row r="26" ht="15.75" customHeight="1">
      <c r="A26" s="3">
        <v>151.0</v>
      </c>
      <c r="B26" s="10" t="s">
        <v>72</v>
      </c>
      <c r="C26" s="10" t="s">
        <v>11</v>
      </c>
      <c r="D26" s="10" t="s">
        <v>14</v>
      </c>
      <c r="E26" s="3">
        <v>9.0</v>
      </c>
      <c r="F26" s="3">
        <v>6.0</v>
      </c>
      <c r="G26" s="13">
        <v>3.0</v>
      </c>
      <c r="H26" s="3">
        <v>1.0</v>
      </c>
      <c r="I26" s="21">
        <f t="shared" si="1"/>
        <v>15</v>
      </c>
      <c r="J26" s="3">
        <v>80.0</v>
      </c>
      <c r="K26" s="33" t="s">
        <v>183</v>
      </c>
    </row>
    <row r="27" ht="15.75" customHeight="1">
      <c r="A27" s="3">
        <v>1.0</v>
      </c>
      <c r="B27" s="10" t="s">
        <v>12</v>
      </c>
      <c r="C27" s="10" t="s">
        <v>13</v>
      </c>
      <c r="D27" s="10" t="s">
        <v>14</v>
      </c>
      <c r="E27" s="3">
        <v>8.0</v>
      </c>
      <c r="F27" s="3">
        <v>8.0</v>
      </c>
      <c r="G27" s="13">
        <v>1.0</v>
      </c>
      <c r="H27" s="3">
        <v>-1.0</v>
      </c>
      <c r="I27" s="21">
        <f t="shared" si="1"/>
        <v>16</v>
      </c>
      <c r="J27" s="3">
        <v>100.0</v>
      </c>
    </row>
    <row r="28" ht="15.75" customHeight="1">
      <c r="A28" s="1" t="s">
        <v>0</v>
      </c>
      <c r="B28" s="1" t="s">
        <v>1</v>
      </c>
      <c r="C28" s="1" t="s">
        <v>2</v>
      </c>
      <c r="D28" s="1" t="s">
        <v>3</v>
      </c>
      <c r="E28" s="1" t="s">
        <v>4</v>
      </c>
      <c r="F28" s="1" t="s">
        <v>5</v>
      </c>
      <c r="G28" s="38" t="s">
        <v>6</v>
      </c>
      <c r="H28" s="1" t="s">
        <v>7</v>
      </c>
      <c r="I28" s="39" t="s">
        <v>8</v>
      </c>
      <c r="J28" s="1" t="s">
        <v>9</v>
      </c>
      <c r="K28" s="33" t="s">
        <v>173</v>
      </c>
      <c r="L28" s="33" t="s">
        <v>174</v>
      </c>
      <c r="M28" s="33" t="s">
        <v>175</v>
      </c>
    </row>
    <row r="29" ht="15.75" customHeight="1">
      <c r="A29" s="3"/>
      <c r="B29" s="10"/>
      <c r="C29" s="10"/>
      <c r="D29" s="10"/>
      <c r="E29" s="3"/>
      <c r="F29" s="3"/>
      <c r="G29" s="13"/>
      <c r="H29" s="3"/>
      <c r="I29" s="21"/>
      <c r="J29" s="3"/>
    </row>
    <row r="30" ht="15.75" customHeight="1">
      <c r="A30" s="3"/>
      <c r="B30" s="10"/>
      <c r="C30" s="10"/>
      <c r="D30" s="10"/>
      <c r="E30" s="3"/>
      <c r="F30" s="3"/>
      <c r="G30" s="13"/>
      <c r="H30" s="3"/>
      <c r="I30" s="21"/>
      <c r="J30" s="3"/>
    </row>
    <row r="31" ht="15.75" customHeight="1">
      <c r="A31" s="3"/>
      <c r="B31" s="10"/>
      <c r="C31" s="10"/>
      <c r="D31" s="10"/>
      <c r="E31" s="3"/>
      <c r="F31" s="3"/>
      <c r="G31" s="13"/>
      <c r="H31" s="3"/>
      <c r="I31" s="21"/>
      <c r="J31" s="3"/>
    </row>
    <row r="32" ht="15.75" customHeight="1">
      <c r="A32" s="3"/>
      <c r="B32" s="10"/>
      <c r="C32" s="10"/>
      <c r="D32" s="10"/>
      <c r="E32" s="3"/>
      <c r="F32" s="3"/>
      <c r="G32" s="13"/>
      <c r="H32" s="3"/>
      <c r="I32" s="21"/>
      <c r="J32" s="3"/>
    </row>
    <row r="33" ht="15.75" customHeight="1">
      <c r="A33" s="3"/>
      <c r="B33" s="10"/>
      <c r="C33" s="10"/>
      <c r="D33" s="10"/>
      <c r="E33" s="3"/>
      <c r="F33" s="3"/>
      <c r="G33" s="13"/>
      <c r="H33" s="3"/>
      <c r="I33" s="21"/>
      <c r="J33" s="3"/>
    </row>
    <row r="34" ht="15.75" customHeight="1">
      <c r="A34" s="3"/>
      <c r="B34" s="10"/>
      <c r="C34" s="10"/>
      <c r="D34" s="10"/>
      <c r="E34" s="3"/>
      <c r="F34" s="3"/>
      <c r="G34" s="13"/>
      <c r="H34" s="3"/>
      <c r="I34" s="21"/>
      <c r="J34" s="3"/>
    </row>
    <row r="35" ht="15.75" customHeight="1">
      <c r="A35" s="3"/>
      <c r="B35" s="10"/>
      <c r="C35" s="10"/>
      <c r="D35" s="10"/>
      <c r="E35" s="3"/>
      <c r="F35" s="3"/>
      <c r="G35" s="13"/>
      <c r="H35" s="3"/>
      <c r="I35" s="21"/>
      <c r="J35" s="3"/>
    </row>
    <row r="36" ht="15.75" customHeight="1">
      <c r="A36" s="3"/>
      <c r="B36" s="10"/>
      <c r="C36" s="10"/>
      <c r="D36" s="10"/>
      <c r="E36" s="3"/>
      <c r="F36" s="3"/>
      <c r="G36" s="13"/>
      <c r="H36" s="3"/>
      <c r="I36" s="21"/>
      <c r="J36" s="3"/>
    </row>
    <row r="37" ht="15.75" customHeight="1">
      <c r="A37" s="3"/>
      <c r="B37" s="10"/>
      <c r="C37" s="10"/>
      <c r="D37" s="10"/>
      <c r="E37" s="3"/>
      <c r="F37" s="3"/>
      <c r="G37" s="13"/>
      <c r="H37" s="3"/>
      <c r="I37" s="21"/>
      <c r="J37" s="3"/>
    </row>
    <row r="38" ht="15.75" customHeight="1">
      <c r="A38" s="3"/>
      <c r="B38" s="10"/>
      <c r="C38" s="10"/>
      <c r="D38" s="10"/>
      <c r="E38" s="3"/>
      <c r="F38" s="3"/>
      <c r="G38" s="13"/>
      <c r="H38" s="3"/>
      <c r="I38" s="21"/>
      <c r="J38" s="3"/>
    </row>
    <row r="39" ht="15.75" customHeight="1">
      <c r="A39" s="3"/>
      <c r="B39" s="10"/>
      <c r="C39" s="10"/>
      <c r="D39" s="10"/>
      <c r="E39" s="3"/>
      <c r="F39" s="3"/>
      <c r="G39" s="13"/>
      <c r="H39" s="3"/>
      <c r="I39" s="21"/>
      <c r="J39" s="3"/>
    </row>
    <row r="40" ht="15.75" customHeight="1">
      <c r="A40" s="3"/>
      <c r="B40" s="10"/>
      <c r="C40" s="10"/>
      <c r="D40" s="10"/>
      <c r="E40" s="3"/>
      <c r="F40" s="3"/>
      <c r="G40" s="13"/>
      <c r="H40" s="3"/>
      <c r="I40" s="21"/>
      <c r="J40" s="3"/>
    </row>
    <row r="41" ht="15.75" customHeight="1">
      <c r="A41" s="3"/>
      <c r="B41" s="10"/>
      <c r="C41" s="10"/>
      <c r="D41" s="10"/>
      <c r="E41" s="3"/>
      <c r="F41" s="3"/>
      <c r="G41" s="13"/>
      <c r="H41" s="3"/>
      <c r="I41" s="21"/>
      <c r="J41" s="3"/>
    </row>
    <row r="42" ht="15.75" customHeight="1">
      <c r="A42" s="3"/>
      <c r="B42" s="10"/>
      <c r="C42" s="10"/>
      <c r="D42" s="10"/>
      <c r="E42" s="3"/>
      <c r="F42" s="3"/>
      <c r="G42" s="13"/>
      <c r="H42" s="3"/>
      <c r="I42" s="21"/>
      <c r="J42" s="3"/>
    </row>
    <row r="43" ht="15.75" customHeight="1">
      <c r="A43" s="3"/>
      <c r="B43" s="10"/>
      <c r="C43" s="10"/>
      <c r="D43" s="10"/>
      <c r="E43" s="3"/>
      <c r="F43" s="3"/>
      <c r="G43" s="13"/>
      <c r="H43" s="3"/>
      <c r="I43" s="21"/>
      <c r="J43" s="3"/>
    </row>
    <row r="44" ht="15.75" customHeight="1">
      <c r="A44" s="3"/>
      <c r="B44" s="10"/>
      <c r="C44" s="10"/>
      <c r="D44" s="10"/>
      <c r="E44" s="3"/>
      <c r="F44" s="3"/>
      <c r="G44" s="13"/>
      <c r="H44" s="3"/>
      <c r="I44" s="21"/>
      <c r="J44" s="3"/>
    </row>
    <row r="45" ht="15.75" customHeight="1">
      <c r="A45" s="3"/>
      <c r="B45" s="10"/>
      <c r="C45" s="10"/>
      <c r="D45" s="10"/>
      <c r="E45" s="3"/>
      <c r="F45" s="3"/>
      <c r="G45" s="13"/>
      <c r="H45" s="3"/>
      <c r="I45" s="21"/>
      <c r="J45" s="3"/>
    </row>
    <row r="46" ht="15.75" customHeight="1">
      <c r="A46" s="3"/>
      <c r="B46" s="10"/>
      <c r="C46" s="10"/>
      <c r="D46" s="10"/>
      <c r="E46" s="3"/>
      <c r="F46" s="3"/>
      <c r="G46" s="13"/>
      <c r="H46" s="3"/>
      <c r="I46" s="21"/>
      <c r="J46" s="3"/>
    </row>
    <row r="47" ht="15.75" customHeight="1">
      <c r="A47" s="3"/>
      <c r="B47" s="10"/>
      <c r="C47" s="10"/>
      <c r="D47" s="10"/>
      <c r="E47" s="3"/>
      <c r="F47" s="3"/>
      <c r="G47" s="13"/>
      <c r="H47" s="3"/>
      <c r="I47" s="21"/>
      <c r="J47" s="3"/>
    </row>
    <row r="48" ht="15.75" customHeight="1">
      <c r="A48" s="3"/>
      <c r="B48" s="10"/>
      <c r="C48" s="10"/>
      <c r="D48" s="10"/>
      <c r="E48" s="3"/>
      <c r="F48" s="3"/>
      <c r="G48" s="13"/>
      <c r="H48" s="3"/>
      <c r="I48" s="21"/>
      <c r="J48" s="3"/>
    </row>
    <row r="49" ht="15.75" customHeight="1">
      <c r="A49" s="3"/>
      <c r="B49" s="10"/>
      <c r="C49" s="10"/>
      <c r="D49" s="10"/>
      <c r="E49" s="3"/>
      <c r="F49" s="3"/>
      <c r="G49" s="13"/>
      <c r="H49" s="3"/>
      <c r="I49" s="21"/>
      <c r="J49" s="3"/>
    </row>
    <row r="50" ht="15.75" customHeight="1">
      <c r="A50" s="3"/>
      <c r="B50" s="10"/>
      <c r="C50" s="10"/>
      <c r="D50" s="10"/>
      <c r="E50" s="3"/>
      <c r="F50" s="3"/>
      <c r="G50" s="13"/>
      <c r="H50" s="3"/>
      <c r="I50" s="21"/>
      <c r="J50" s="3"/>
    </row>
    <row r="51" ht="15.75" customHeight="1">
      <c r="A51" s="3"/>
      <c r="B51" s="10"/>
      <c r="C51" s="10"/>
      <c r="D51" s="10"/>
      <c r="E51" s="3"/>
      <c r="F51" s="3"/>
      <c r="G51" s="13"/>
      <c r="H51" s="3"/>
      <c r="I51" s="21"/>
      <c r="J51" s="3"/>
    </row>
    <row r="52" ht="15.75" customHeight="1">
      <c r="A52" s="3"/>
      <c r="B52" s="10"/>
      <c r="C52" s="10"/>
      <c r="D52" s="10"/>
      <c r="E52" s="3"/>
      <c r="F52" s="3"/>
      <c r="G52" s="13"/>
      <c r="H52" s="3"/>
      <c r="I52" s="21"/>
      <c r="J52" s="3"/>
    </row>
    <row r="53" ht="15.75" customHeight="1">
      <c r="A53" s="3"/>
      <c r="B53" s="10"/>
      <c r="C53" s="10"/>
      <c r="D53" s="10"/>
      <c r="E53" s="3"/>
      <c r="F53" s="3"/>
      <c r="G53" s="13"/>
      <c r="H53" s="3"/>
      <c r="I53" s="21"/>
      <c r="J53" s="3"/>
    </row>
    <row r="54" ht="15.75" customHeight="1">
      <c r="A54" s="3"/>
      <c r="B54" s="10"/>
      <c r="C54" s="10"/>
      <c r="D54" s="10"/>
      <c r="E54" s="3"/>
      <c r="F54" s="3"/>
      <c r="G54" s="13"/>
      <c r="H54" s="3"/>
      <c r="I54" s="21"/>
      <c r="J54" s="3"/>
    </row>
    <row r="55" ht="15.75" customHeight="1">
      <c r="A55" s="3"/>
      <c r="B55" s="10"/>
      <c r="C55" s="10"/>
      <c r="D55" s="10"/>
      <c r="E55" s="3"/>
      <c r="F55" s="3"/>
      <c r="G55" s="13"/>
      <c r="H55" s="3"/>
      <c r="I55" s="21"/>
      <c r="J55" s="3"/>
    </row>
    <row r="56" ht="15.75" customHeight="1">
      <c r="A56" s="3"/>
      <c r="B56" s="10"/>
      <c r="C56" s="10"/>
      <c r="D56" s="10"/>
      <c r="E56" s="3"/>
      <c r="F56" s="3"/>
      <c r="G56" s="13"/>
      <c r="H56" s="3"/>
      <c r="I56" s="21"/>
      <c r="J56" s="3"/>
    </row>
    <row r="57" ht="15.75" customHeight="1">
      <c r="A57" s="3"/>
      <c r="B57" s="10"/>
      <c r="C57" s="10"/>
      <c r="D57" s="10"/>
      <c r="E57" s="3"/>
      <c r="F57" s="3"/>
      <c r="G57" s="13"/>
      <c r="H57" s="3"/>
      <c r="I57" s="21"/>
      <c r="J57" s="3"/>
    </row>
    <row r="58" ht="15.75" customHeight="1">
      <c r="A58" s="3"/>
      <c r="B58" s="10"/>
      <c r="C58" s="10"/>
      <c r="D58" s="10"/>
      <c r="E58" s="3"/>
      <c r="F58" s="3"/>
      <c r="G58" s="13"/>
      <c r="H58" s="3"/>
      <c r="I58" s="21"/>
      <c r="J58" s="3"/>
    </row>
    <row r="59" ht="15.75" customHeight="1">
      <c r="A59" s="3"/>
      <c r="B59" s="10"/>
      <c r="C59" s="10"/>
      <c r="D59" s="10"/>
      <c r="E59" s="3"/>
      <c r="F59" s="3"/>
      <c r="G59" s="13"/>
      <c r="H59" s="3"/>
      <c r="I59" s="21"/>
      <c r="J59" s="3"/>
    </row>
    <row r="60" ht="15.75" customHeight="1">
      <c r="A60" s="3"/>
      <c r="B60" s="10"/>
      <c r="C60" s="10"/>
      <c r="D60" s="10"/>
      <c r="E60" s="3"/>
      <c r="F60" s="3"/>
      <c r="G60" s="13"/>
      <c r="H60" s="3"/>
      <c r="I60" s="21"/>
      <c r="J60" s="3"/>
    </row>
    <row r="61" ht="15.75" customHeight="1">
      <c r="A61" s="3"/>
      <c r="B61" s="10"/>
      <c r="C61" s="10"/>
      <c r="D61" s="10"/>
      <c r="E61" s="3"/>
      <c r="F61" s="3"/>
      <c r="G61" s="13"/>
      <c r="H61" s="3"/>
      <c r="I61" s="21"/>
      <c r="J61" s="3"/>
    </row>
    <row r="62" ht="15.75" customHeight="1">
      <c r="A62" s="3"/>
      <c r="B62" s="10"/>
      <c r="C62" s="10"/>
      <c r="D62" s="10"/>
      <c r="E62" s="3"/>
      <c r="F62" s="3"/>
      <c r="G62" s="13"/>
      <c r="H62" s="3"/>
      <c r="I62" s="21"/>
      <c r="J62" s="3"/>
    </row>
    <row r="63" ht="15.75" customHeight="1">
      <c r="A63" s="3"/>
      <c r="B63" s="10"/>
      <c r="C63" s="10"/>
      <c r="D63" s="10"/>
      <c r="E63" s="3"/>
      <c r="F63" s="3"/>
      <c r="G63" s="13"/>
      <c r="H63" s="3"/>
      <c r="I63" s="21"/>
      <c r="J63" s="3"/>
    </row>
    <row r="64" ht="15.75" customHeight="1">
      <c r="A64" s="3"/>
      <c r="B64" s="10"/>
      <c r="C64" s="10"/>
      <c r="D64" s="10"/>
      <c r="E64" s="3"/>
      <c r="F64" s="3"/>
      <c r="G64" s="13"/>
      <c r="H64" s="3"/>
      <c r="I64" s="21"/>
      <c r="J64" s="3"/>
    </row>
    <row r="65" ht="15.75" customHeight="1">
      <c r="A65" s="3"/>
      <c r="B65" s="10"/>
      <c r="C65" s="10"/>
      <c r="D65" s="10"/>
      <c r="E65" s="3"/>
      <c r="F65" s="3"/>
      <c r="G65" s="13"/>
      <c r="H65" s="3"/>
      <c r="I65" s="21"/>
      <c r="J65" s="3"/>
    </row>
    <row r="66" ht="15.75" customHeight="1">
      <c r="A66" s="3"/>
      <c r="B66" s="10"/>
      <c r="C66" s="10"/>
      <c r="D66" s="10"/>
      <c r="E66" s="3"/>
      <c r="F66" s="3"/>
      <c r="G66" s="13"/>
      <c r="H66" s="3"/>
      <c r="I66" s="21"/>
      <c r="J66" s="3"/>
    </row>
    <row r="67" ht="15.75" customHeight="1">
      <c r="A67" s="3"/>
      <c r="B67" s="10"/>
      <c r="C67" s="10"/>
      <c r="D67" s="10"/>
      <c r="E67" s="3"/>
      <c r="F67" s="3"/>
      <c r="G67" s="13"/>
      <c r="H67" s="3"/>
      <c r="I67" s="21"/>
      <c r="J67" s="3"/>
    </row>
    <row r="68" ht="15.75" customHeight="1">
      <c r="A68" s="3"/>
      <c r="B68" s="10"/>
      <c r="C68" s="10"/>
      <c r="D68" s="10"/>
      <c r="E68" s="3"/>
      <c r="F68" s="3"/>
      <c r="G68" s="13"/>
      <c r="H68" s="3"/>
      <c r="I68" s="21"/>
      <c r="J68" s="3"/>
    </row>
    <row r="69" ht="15.75" customHeight="1">
      <c r="A69" s="3"/>
      <c r="B69" s="10"/>
      <c r="C69" s="10"/>
      <c r="D69" s="10"/>
      <c r="E69" s="3"/>
      <c r="F69" s="3"/>
      <c r="G69" s="13"/>
      <c r="H69" s="3"/>
      <c r="I69" s="21"/>
      <c r="J69" s="3"/>
    </row>
    <row r="70" ht="15.75" customHeight="1">
      <c r="A70" s="3"/>
      <c r="B70" s="10"/>
      <c r="C70" s="10"/>
      <c r="D70" s="10"/>
      <c r="E70" s="3"/>
      <c r="F70" s="3"/>
      <c r="G70" s="13"/>
      <c r="H70" s="3"/>
      <c r="I70" s="21"/>
      <c r="J70" s="3"/>
    </row>
    <row r="71" ht="15.75" customHeight="1">
      <c r="A71" s="3"/>
      <c r="B71" s="10"/>
      <c r="C71" s="10"/>
      <c r="D71" s="10"/>
      <c r="E71" s="3"/>
      <c r="F71" s="3"/>
      <c r="G71" s="13"/>
      <c r="H71" s="3"/>
      <c r="I71" s="21"/>
      <c r="J71" s="3"/>
    </row>
    <row r="72" ht="15.75" customHeight="1">
      <c r="A72" s="3"/>
      <c r="B72" s="10"/>
      <c r="C72" s="10"/>
      <c r="D72" s="10"/>
      <c r="E72" s="3"/>
      <c r="F72" s="3"/>
      <c r="G72" s="13"/>
      <c r="H72" s="3"/>
      <c r="I72" s="21"/>
      <c r="J72" s="3"/>
    </row>
    <row r="73" ht="15.75" customHeight="1">
      <c r="A73" s="3"/>
      <c r="B73" s="10"/>
      <c r="C73" s="10"/>
      <c r="D73" s="10"/>
      <c r="E73" s="3"/>
      <c r="F73" s="3"/>
      <c r="G73" s="13"/>
      <c r="H73" s="3"/>
      <c r="I73" s="21"/>
      <c r="J73" s="3"/>
    </row>
    <row r="74" ht="15.75" customHeight="1">
      <c r="A74" s="3"/>
      <c r="B74" s="10"/>
      <c r="C74" s="10"/>
      <c r="D74" s="10"/>
      <c r="E74" s="3"/>
      <c r="F74" s="3"/>
      <c r="G74" s="13"/>
      <c r="H74" s="3"/>
      <c r="I74" s="21"/>
      <c r="J74" s="3"/>
    </row>
    <row r="75" ht="15.75" customHeight="1">
      <c r="A75" s="3"/>
      <c r="B75" s="10"/>
      <c r="C75" s="10"/>
      <c r="D75" s="10"/>
      <c r="E75" s="3"/>
      <c r="F75" s="3"/>
      <c r="G75" s="13"/>
      <c r="H75" s="3"/>
      <c r="I75" s="21"/>
      <c r="J75" s="3"/>
    </row>
    <row r="76" ht="15.75" customHeight="1">
      <c r="A76" s="3"/>
      <c r="B76" s="10"/>
      <c r="C76" s="10"/>
      <c r="D76" s="10"/>
      <c r="E76" s="3"/>
      <c r="F76" s="3"/>
      <c r="G76" s="13"/>
      <c r="H76" s="3"/>
      <c r="I76" s="21"/>
      <c r="J76" s="3"/>
    </row>
    <row r="77" ht="15.75" customHeight="1">
      <c r="A77" s="3"/>
      <c r="B77" s="10"/>
      <c r="C77" s="10"/>
      <c r="D77" s="10"/>
      <c r="E77" s="3"/>
      <c r="F77" s="3"/>
      <c r="G77" s="13"/>
      <c r="H77" s="3"/>
      <c r="I77" s="21"/>
      <c r="J77" s="3"/>
    </row>
    <row r="78" ht="15.75" customHeight="1">
      <c r="A78" s="3"/>
      <c r="B78" s="10"/>
      <c r="C78" s="10"/>
      <c r="D78" s="10"/>
      <c r="E78" s="3"/>
      <c r="F78" s="3"/>
      <c r="G78" s="13"/>
      <c r="H78" s="3"/>
      <c r="I78" s="21"/>
      <c r="J78" s="3"/>
    </row>
    <row r="79" ht="15.75" customHeight="1">
      <c r="A79" s="3"/>
      <c r="B79" s="10"/>
      <c r="C79" s="10"/>
      <c r="D79" s="10"/>
      <c r="E79" s="3"/>
      <c r="F79" s="3"/>
      <c r="G79" s="13"/>
      <c r="H79" s="3"/>
      <c r="I79" s="21"/>
      <c r="J79" s="3"/>
    </row>
    <row r="80" ht="15.75" customHeight="1">
      <c r="A80" s="3"/>
      <c r="B80" s="10"/>
      <c r="C80" s="10"/>
      <c r="D80" s="10"/>
      <c r="E80" s="3"/>
      <c r="F80" s="3"/>
      <c r="G80" s="13"/>
      <c r="H80" s="3"/>
      <c r="I80" s="21"/>
      <c r="J80" s="3"/>
    </row>
    <row r="81" ht="15.75" customHeight="1">
      <c r="A81" s="3"/>
      <c r="B81" s="10"/>
      <c r="C81" s="10"/>
      <c r="D81" s="10"/>
      <c r="E81" s="3"/>
      <c r="F81" s="3"/>
      <c r="G81" s="13"/>
      <c r="H81" s="3"/>
      <c r="I81" s="21"/>
      <c r="J81" s="3"/>
    </row>
    <row r="82" ht="15.75" customHeight="1">
      <c r="A82" s="3"/>
      <c r="B82" s="10"/>
      <c r="C82" s="10"/>
      <c r="D82" s="10"/>
      <c r="E82" s="3"/>
      <c r="F82" s="3"/>
      <c r="G82" s="13"/>
      <c r="H82" s="3"/>
      <c r="I82" s="21"/>
      <c r="J82" s="3"/>
    </row>
    <row r="83" ht="15.75" customHeight="1">
      <c r="A83" s="3"/>
      <c r="B83" s="20"/>
      <c r="C83" s="10"/>
      <c r="D83" s="10"/>
      <c r="E83" s="3"/>
      <c r="F83" s="3"/>
      <c r="G83" s="13"/>
      <c r="H83" s="3"/>
      <c r="I83" s="21"/>
      <c r="J83" s="3"/>
    </row>
    <row r="84" ht="15.75" customHeight="1">
      <c r="A84" s="3"/>
      <c r="B84" s="10"/>
      <c r="C84" s="10"/>
      <c r="D84" s="10"/>
      <c r="E84" s="3"/>
      <c r="F84" s="3"/>
      <c r="G84" s="13"/>
      <c r="H84" s="3"/>
      <c r="I84" s="21"/>
      <c r="J84" s="3"/>
    </row>
    <row r="85" ht="15.75" customHeight="1">
      <c r="A85" s="3"/>
      <c r="B85" s="10"/>
      <c r="C85" s="10"/>
      <c r="D85" s="10"/>
      <c r="E85" s="3"/>
      <c r="F85" s="3"/>
      <c r="G85" s="13"/>
      <c r="H85" s="3"/>
      <c r="I85" s="21"/>
      <c r="J85" s="3"/>
    </row>
    <row r="86" ht="15.75" customHeight="1">
      <c r="A86" s="3"/>
      <c r="B86" s="10"/>
      <c r="C86" s="10"/>
      <c r="D86" s="10"/>
      <c r="E86" s="3"/>
      <c r="F86" s="3"/>
      <c r="G86" s="13"/>
      <c r="H86" s="3"/>
      <c r="I86" s="21"/>
      <c r="J86" s="3"/>
    </row>
    <row r="87" ht="15.75" customHeight="1">
      <c r="A87" s="3"/>
      <c r="B87" s="10"/>
      <c r="C87" s="10"/>
      <c r="D87" s="10"/>
      <c r="E87" s="3"/>
      <c r="F87" s="3"/>
      <c r="G87" s="13"/>
      <c r="H87" s="3"/>
      <c r="I87" s="21"/>
      <c r="J87" s="3"/>
    </row>
    <row r="88" ht="15.75" customHeight="1">
      <c r="A88" s="3"/>
      <c r="B88" s="10"/>
      <c r="C88" s="10"/>
      <c r="D88" s="10"/>
      <c r="E88" s="3"/>
      <c r="F88" s="3"/>
      <c r="G88" s="13"/>
      <c r="H88" s="3"/>
      <c r="I88" s="21"/>
      <c r="J88" s="3"/>
    </row>
    <row r="89" ht="15.75" customHeight="1">
      <c r="A89" s="3"/>
      <c r="B89" s="10"/>
      <c r="C89" s="10"/>
      <c r="D89" s="10"/>
      <c r="E89" s="3"/>
      <c r="F89" s="3"/>
      <c r="G89" s="13"/>
      <c r="H89" s="3"/>
      <c r="I89" s="21"/>
      <c r="J89" s="3"/>
    </row>
    <row r="90" ht="15.75" customHeight="1">
      <c r="A90" s="3"/>
      <c r="B90" s="10"/>
      <c r="C90" s="10"/>
      <c r="D90" s="10"/>
      <c r="E90" s="3"/>
      <c r="F90" s="3"/>
      <c r="G90" s="13"/>
      <c r="H90" s="3"/>
      <c r="I90" s="21"/>
      <c r="J90" s="3"/>
    </row>
    <row r="91" ht="15.75" customHeight="1">
      <c r="A91" s="3"/>
      <c r="B91" s="10"/>
      <c r="C91" s="10"/>
      <c r="D91" s="10"/>
      <c r="E91" s="3"/>
      <c r="F91" s="3"/>
      <c r="G91" s="13"/>
      <c r="H91" s="3"/>
      <c r="I91" s="21"/>
      <c r="J91" s="3"/>
    </row>
    <row r="92" ht="15.75" customHeight="1">
      <c r="A92" s="3"/>
      <c r="B92" s="10"/>
      <c r="C92" s="10"/>
      <c r="D92" s="10"/>
      <c r="E92" s="3"/>
      <c r="F92" s="3"/>
      <c r="G92" s="13"/>
      <c r="H92" s="3"/>
      <c r="I92" s="21"/>
      <c r="J92" s="3"/>
    </row>
    <row r="93" ht="15.75" customHeight="1">
      <c r="A93" s="3"/>
      <c r="B93" s="10"/>
      <c r="C93" s="10"/>
      <c r="D93" s="10"/>
      <c r="E93" s="3"/>
      <c r="F93" s="3"/>
      <c r="G93" s="13"/>
      <c r="H93" s="3"/>
      <c r="I93" s="21"/>
      <c r="J93" s="3"/>
    </row>
    <row r="94" ht="15.75" customHeight="1">
      <c r="A94" s="3"/>
      <c r="B94" s="10"/>
      <c r="C94" s="10"/>
      <c r="D94" s="10"/>
      <c r="E94" s="3"/>
      <c r="F94" s="3"/>
      <c r="G94" s="13"/>
      <c r="H94" s="3"/>
      <c r="I94" s="21"/>
      <c r="J94" s="3"/>
    </row>
    <row r="95" ht="15.75" customHeight="1">
      <c r="A95" s="3"/>
      <c r="B95" s="10"/>
      <c r="C95" s="10"/>
      <c r="D95" s="10"/>
      <c r="E95" s="3"/>
      <c r="F95" s="3"/>
      <c r="G95" s="13"/>
      <c r="H95" s="3"/>
      <c r="I95" s="21"/>
      <c r="J95" s="3"/>
    </row>
    <row r="96" ht="15.75" customHeight="1">
      <c r="A96" s="3"/>
      <c r="B96" s="10"/>
      <c r="C96" s="10"/>
      <c r="D96" s="10"/>
      <c r="E96" s="3"/>
      <c r="F96" s="3"/>
      <c r="G96" s="13"/>
      <c r="H96" s="3"/>
      <c r="I96" s="21"/>
      <c r="J96" s="3"/>
    </row>
    <row r="97" ht="15.75" customHeight="1">
      <c r="A97" s="3"/>
      <c r="B97" s="10"/>
      <c r="C97" s="10"/>
      <c r="D97" s="10"/>
      <c r="E97" s="3"/>
      <c r="F97" s="3"/>
      <c r="G97" s="13"/>
      <c r="H97" s="3"/>
      <c r="I97" s="21"/>
      <c r="J97" s="3"/>
    </row>
    <row r="98" ht="15.75" customHeight="1">
      <c r="A98" s="3"/>
      <c r="B98" s="10"/>
      <c r="C98" s="10"/>
      <c r="D98" s="10"/>
      <c r="E98" s="3"/>
      <c r="F98" s="3"/>
      <c r="G98" s="13"/>
      <c r="H98" s="3"/>
      <c r="I98" s="21"/>
      <c r="J98" s="3"/>
    </row>
    <row r="99" ht="15.75" customHeight="1">
      <c r="A99" s="3"/>
      <c r="B99" s="10"/>
      <c r="C99" s="10"/>
      <c r="D99" s="10"/>
      <c r="E99" s="3"/>
      <c r="F99" s="3"/>
      <c r="G99" s="13"/>
      <c r="H99" s="3"/>
      <c r="I99" s="21"/>
      <c r="J99" s="3"/>
    </row>
    <row r="100" ht="15.75" customHeight="1">
      <c r="A100" s="3"/>
      <c r="B100" s="10"/>
      <c r="C100" s="10"/>
      <c r="D100" s="10"/>
      <c r="E100" s="3"/>
      <c r="F100" s="3"/>
      <c r="G100" s="13"/>
      <c r="H100" s="3"/>
      <c r="I100" s="21"/>
      <c r="J100" s="3"/>
    </row>
    <row r="101" ht="15.75" customHeight="1">
      <c r="A101" s="3"/>
      <c r="B101" s="10"/>
      <c r="C101" s="10"/>
      <c r="D101" s="10"/>
      <c r="E101" s="3"/>
      <c r="F101" s="3"/>
      <c r="G101" s="13"/>
      <c r="H101" s="3"/>
      <c r="I101" s="21"/>
      <c r="J101" s="3"/>
    </row>
    <row r="102" ht="15.75" customHeight="1">
      <c r="A102" s="3"/>
      <c r="B102" s="10"/>
      <c r="C102" s="10"/>
      <c r="D102" s="10"/>
      <c r="E102" s="3"/>
      <c r="F102" s="3"/>
      <c r="G102" s="13"/>
      <c r="H102" s="3"/>
      <c r="I102" s="21"/>
      <c r="J102" s="3"/>
    </row>
    <row r="103" ht="15.75" customHeight="1">
      <c r="A103" s="3"/>
      <c r="B103" s="10"/>
      <c r="C103" s="10"/>
      <c r="D103" s="10"/>
      <c r="E103" s="3"/>
      <c r="F103" s="3"/>
      <c r="G103" s="13"/>
      <c r="H103" s="3"/>
      <c r="I103" s="21"/>
      <c r="J103" s="3"/>
    </row>
    <row r="104" ht="15.75" customHeight="1">
      <c r="A104" s="3"/>
      <c r="B104" s="10"/>
      <c r="C104" s="10"/>
      <c r="D104" s="10"/>
      <c r="E104" s="3"/>
      <c r="F104" s="3"/>
      <c r="G104" s="13"/>
      <c r="H104" s="3"/>
      <c r="I104" s="21"/>
      <c r="J104" s="3"/>
    </row>
    <row r="105" ht="15.75" customHeight="1">
      <c r="A105" s="3"/>
      <c r="B105" s="36"/>
      <c r="C105" s="15"/>
      <c r="D105" s="15"/>
      <c r="E105" s="15"/>
      <c r="F105" s="15"/>
      <c r="G105" s="18"/>
      <c r="H105" s="15"/>
      <c r="I105" s="21"/>
      <c r="J105" s="15"/>
    </row>
    <row r="106" ht="15.75" customHeight="1">
      <c r="A106" s="3"/>
      <c r="B106" s="10"/>
      <c r="C106" s="10"/>
      <c r="D106" s="10"/>
      <c r="E106" s="3"/>
      <c r="F106" s="3"/>
      <c r="G106" s="13"/>
      <c r="H106" s="3"/>
      <c r="I106" s="21"/>
      <c r="J106" s="3"/>
    </row>
    <row r="107" ht="15.75" customHeight="1">
      <c r="A107" s="3"/>
      <c r="B107" s="10"/>
      <c r="C107" s="10"/>
      <c r="D107" s="10"/>
      <c r="E107" s="3"/>
      <c r="F107" s="3"/>
      <c r="G107" s="13"/>
      <c r="H107" s="3"/>
      <c r="I107" s="21"/>
      <c r="J107" s="3"/>
    </row>
    <row r="108" ht="15.75" customHeight="1">
      <c r="A108" s="3"/>
      <c r="B108" s="10"/>
      <c r="C108" s="10"/>
      <c r="D108" s="10"/>
      <c r="E108" s="3"/>
      <c r="F108" s="3"/>
      <c r="G108" s="13"/>
      <c r="H108" s="3"/>
      <c r="I108" s="21"/>
      <c r="J108" s="3"/>
    </row>
    <row r="109" ht="15.75" customHeight="1">
      <c r="A109" s="3"/>
      <c r="B109" s="37"/>
      <c r="C109" s="15"/>
      <c r="D109" s="15"/>
      <c r="E109" s="15"/>
      <c r="F109" s="15"/>
      <c r="G109" s="18"/>
      <c r="H109" s="15"/>
      <c r="I109" s="21"/>
      <c r="J109" s="15"/>
    </row>
    <row r="110" ht="15.75" customHeight="1">
      <c r="A110" s="3"/>
      <c r="B110" s="10"/>
      <c r="C110" s="10"/>
      <c r="D110" s="10"/>
      <c r="E110" s="3"/>
      <c r="F110" s="3"/>
      <c r="G110" s="13"/>
      <c r="H110" s="3"/>
      <c r="I110" s="21"/>
      <c r="J110" s="3"/>
    </row>
    <row r="111" ht="15.75" customHeight="1">
      <c r="A111" s="3"/>
      <c r="B111" s="10"/>
      <c r="C111" s="10"/>
      <c r="D111" s="10"/>
      <c r="E111" s="3"/>
      <c r="F111" s="3"/>
      <c r="G111" s="13"/>
      <c r="H111" s="3"/>
      <c r="I111" s="21"/>
      <c r="J111" s="3"/>
    </row>
    <row r="112" ht="15.75" customHeight="1">
      <c r="A112" s="3"/>
      <c r="B112" s="10"/>
      <c r="C112" s="10"/>
      <c r="D112" s="10"/>
      <c r="E112" s="3"/>
      <c r="F112" s="3"/>
      <c r="G112" s="13"/>
      <c r="H112" s="3"/>
      <c r="I112" s="21"/>
      <c r="J112" s="3"/>
    </row>
    <row r="113" ht="15.75" customHeight="1">
      <c r="A113" s="3"/>
      <c r="B113" s="10"/>
      <c r="C113" s="10"/>
      <c r="D113" s="10"/>
      <c r="E113" s="3"/>
      <c r="F113" s="3"/>
      <c r="G113" s="13"/>
      <c r="H113" s="3"/>
      <c r="I113" s="21"/>
      <c r="J113" s="3"/>
    </row>
    <row r="114" ht="15.75" customHeight="1">
      <c r="A114" s="3"/>
      <c r="B114" s="10"/>
      <c r="C114" s="10"/>
      <c r="D114" s="10"/>
      <c r="E114" s="3"/>
      <c r="F114" s="3"/>
      <c r="G114" s="13"/>
      <c r="H114" s="3"/>
      <c r="I114" s="21"/>
      <c r="J114" s="3"/>
    </row>
    <row r="115" ht="15.75" customHeight="1">
      <c r="A115" s="3"/>
      <c r="B115" s="10"/>
      <c r="C115" s="10"/>
      <c r="D115" s="10"/>
      <c r="E115" s="3"/>
      <c r="F115" s="3"/>
      <c r="G115" s="13"/>
      <c r="H115" s="3"/>
      <c r="I115" s="21"/>
      <c r="J115" s="3"/>
    </row>
    <row r="116" ht="15.75" customHeight="1">
      <c r="A116" s="3"/>
      <c r="B116" s="10"/>
      <c r="C116" s="10"/>
      <c r="D116" s="10"/>
      <c r="E116" s="3"/>
      <c r="F116" s="3"/>
      <c r="G116" s="13"/>
      <c r="H116" s="3"/>
      <c r="I116" s="21"/>
      <c r="J116" s="3"/>
    </row>
    <row r="117" ht="15.75" customHeight="1">
      <c r="A117" s="3"/>
      <c r="B117" s="10"/>
      <c r="C117" s="10"/>
      <c r="D117" s="10"/>
      <c r="E117" s="3"/>
      <c r="F117" s="3"/>
      <c r="G117" s="13"/>
      <c r="H117" s="3"/>
      <c r="I117" s="21"/>
      <c r="J117" s="3"/>
    </row>
    <row r="118" ht="15.75" customHeight="1">
      <c r="A118" s="3"/>
      <c r="B118" s="10"/>
      <c r="C118" s="10"/>
      <c r="D118" s="10"/>
      <c r="E118" s="3"/>
      <c r="F118" s="3"/>
      <c r="G118" s="13"/>
      <c r="H118" s="3"/>
      <c r="I118" s="21"/>
      <c r="J118" s="3"/>
    </row>
    <row r="119" ht="15.75" customHeight="1">
      <c r="A119" s="3"/>
      <c r="B119" s="10"/>
      <c r="C119" s="10"/>
      <c r="D119" s="10"/>
      <c r="E119" s="3"/>
      <c r="F119" s="3"/>
      <c r="G119" s="13"/>
      <c r="H119" s="3"/>
      <c r="I119" s="21"/>
      <c r="J119" s="3"/>
    </row>
    <row r="120" ht="15.75" customHeight="1">
      <c r="A120" s="3"/>
      <c r="B120" s="10"/>
      <c r="C120" s="10"/>
      <c r="D120" s="10"/>
      <c r="E120" s="3"/>
      <c r="F120" s="3"/>
      <c r="G120" s="13"/>
      <c r="H120" s="3"/>
      <c r="I120" s="21"/>
      <c r="J120" s="3"/>
    </row>
    <row r="121" ht="15.75" customHeight="1">
      <c r="A121" s="3"/>
      <c r="B121" s="15"/>
      <c r="C121" s="15"/>
      <c r="D121" s="15"/>
      <c r="E121" s="15"/>
      <c r="F121" s="15"/>
      <c r="G121" s="18"/>
      <c r="H121" s="15"/>
      <c r="I121" s="21"/>
      <c r="J121" s="15"/>
    </row>
    <row r="122" ht="15.75" customHeight="1">
      <c r="A122" s="3"/>
      <c r="B122" s="10"/>
      <c r="C122" s="10"/>
      <c r="D122" s="10"/>
      <c r="E122" s="3"/>
      <c r="F122" s="3"/>
      <c r="G122" s="13"/>
      <c r="H122" s="3"/>
      <c r="I122" s="21"/>
      <c r="J122" s="3"/>
    </row>
    <row r="123" ht="15.75" customHeight="1">
      <c r="A123" s="3"/>
      <c r="B123" s="10"/>
      <c r="C123" s="10"/>
      <c r="D123" s="10"/>
      <c r="E123" s="3"/>
      <c r="F123" s="3"/>
      <c r="G123" s="13"/>
      <c r="H123" s="3"/>
      <c r="I123" s="21"/>
      <c r="J123" s="3"/>
    </row>
    <row r="124" ht="15.75" customHeight="1">
      <c r="A124" s="3"/>
      <c r="B124" s="10"/>
      <c r="C124" s="10"/>
      <c r="D124" s="10"/>
      <c r="E124" s="3"/>
      <c r="F124" s="3"/>
      <c r="G124" s="13"/>
      <c r="H124" s="3"/>
      <c r="I124" s="21"/>
      <c r="J124" s="3"/>
    </row>
    <row r="125" ht="15.75" customHeight="1">
      <c r="A125" s="3"/>
      <c r="B125" s="10"/>
      <c r="C125" s="10"/>
      <c r="D125" s="10"/>
      <c r="E125" s="3"/>
      <c r="F125" s="3"/>
      <c r="G125" s="13"/>
      <c r="H125" s="3"/>
      <c r="I125" s="21"/>
      <c r="J125" s="3"/>
    </row>
    <row r="126" ht="15.75" customHeight="1">
      <c r="A126" s="3"/>
      <c r="B126" s="10"/>
      <c r="C126" s="10"/>
      <c r="D126" s="10"/>
      <c r="E126" s="3"/>
      <c r="F126" s="3"/>
      <c r="G126" s="13"/>
      <c r="H126" s="3"/>
      <c r="I126" s="21"/>
      <c r="J126" s="3"/>
    </row>
    <row r="127" ht="15.75" customHeight="1">
      <c r="A127" s="3"/>
      <c r="B127" s="10"/>
      <c r="C127" s="10"/>
      <c r="D127" s="10"/>
      <c r="E127" s="3"/>
      <c r="F127" s="3"/>
      <c r="G127" s="13"/>
      <c r="H127" s="3"/>
      <c r="I127" s="21"/>
      <c r="J127" s="3"/>
    </row>
    <row r="128" ht="15.75" customHeight="1">
      <c r="A128" s="3"/>
      <c r="B128" s="15"/>
      <c r="C128" s="15"/>
      <c r="D128" s="15"/>
      <c r="E128" s="15"/>
      <c r="F128" s="15"/>
      <c r="G128" s="18"/>
      <c r="H128" s="15"/>
      <c r="I128" s="21"/>
      <c r="J128" s="15"/>
    </row>
    <row r="129" ht="15.75" customHeight="1">
      <c r="A129" s="3"/>
      <c r="B129" s="10"/>
      <c r="C129" s="10"/>
      <c r="D129" s="10"/>
      <c r="E129" s="3"/>
      <c r="F129" s="3"/>
      <c r="G129" s="13"/>
      <c r="H129" s="3"/>
      <c r="I129" s="21"/>
      <c r="J129" s="3"/>
    </row>
    <row r="130" ht="15.75" customHeight="1">
      <c r="A130" s="3"/>
      <c r="B130" s="10"/>
      <c r="C130" s="10"/>
      <c r="D130" s="10"/>
      <c r="E130" s="3"/>
      <c r="F130" s="3"/>
      <c r="G130" s="13"/>
      <c r="H130" s="3"/>
      <c r="I130" s="21"/>
      <c r="J130" s="3"/>
    </row>
    <row r="131" ht="15.75" customHeight="1">
      <c r="A131" s="3"/>
      <c r="B131" s="10"/>
      <c r="C131" s="10"/>
      <c r="D131" s="10"/>
      <c r="E131" s="3"/>
      <c r="F131" s="3"/>
      <c r="G131" s="13"/>
      <c r="H131" s="3"/>
      <c r="I131" s="21"/>
      <c r="J131" s="3"/>
    </row>
    <row r="132" ht="17.25" customHeight="1">
      <c r="A132" s="3"/>
      <c r="B132" s="10"/>
      <c r="C132" s="10"/>
      <c r="D132" s="10"/>
      <c r="E132" s="3"/>
      <c r="F132" s="3"/>
      <c r="G132" s="13"/>
      <c r="H132" s="3"/>
      <c r="I132" s="21"/>
      <c r="J132" s="3"/>
    </row>
    <row r="133" ht="15.75" customHeight="1">
      <c r="A133" s="3"/>
      <c r="B133" s="10"/>
      <c r="C133" s="10"/>
      <c r="D133" s="10"/>
      <c r="E133" s="3"/>
      <c r="F133" s="3"/>
      <c r="G133" s="13"/>
      <c r="H133" s="3"/>
      <c r="I133" s="21"/>
      <c r="J133" s="3"/>
    </row>
    <row r="134" ht="15.75" customHeight="1">
      <c r="A134" s="3"/>
      <c r="B134" s="10"/>
      <c r="C134" s="10"/>
      <c r="D134" s="10"/>
      <c r="E134" s="3"/>
      <c r="F134" s="3"/>
      <c r="G134" s="13"/>
      <c r="H134" s="3"/>
      <c r="I134" s="21"/>
      <c r="J134" s="3"/>
    </row>
    <row r="135" ht="15.75" customHeight="1">
      <c r="A135" s="3"/>
      <c r="B135" s="10"/>
      <c r="C135" s="10"/>
      <c r="D135" s="10"/>
      <c r="E135" s="3"/>
      <c r="F135" s="3"/>
      <c r="G135" s="13"/>
      <c r="H135" s="3"/>
      <c r="I135" s="21"/>
      <c r="J135" s="3"/>
    </row>
    <row r="136" ht="15.75" customHeight="1">
      <c r="A136" s="3"/>
      <c r="B136" s="10"/>
      <c r="C136" s="10"/>
      <c r="D136" s="10"/>
      <c r="E136" s="3"/>
      <c r="F136" s="3"/>
      <c r="G136" s="13"/>
      <c r="H136" s="3"/>
      <c r="I136" s="21"/>
      <c r="J136" s="3"/>
    </row>
    <row r="137" ht="15.75" customHeight="1">
      <c r="A137" s="3"/>
      <c r="B137" s="10"/>
      <c r="C137" s="10"/>
      <c r="D137" s="10"/>
      <c r="E137" s="3"/>
      <c r="F137" s="3"/>
      <c r="G137" s="13"/>
      <c r="H137" s="3"/>
      <c r="I137" s="21"/>
      <c r="J137" s="3"/>
    </row>
    <row r="138" ht="15.75" customHeight="1">
      <c r="A138" s="3"/>
      <c r="B138" s="10"/>
      <c r="C138" s="10"/>
      <c r="D138" s="10"/>
      <c r="E138" s="3"/>
      <c r="F138" s="3"/>
      <c r="G138" s="13"/>
      <c r="H138" s="3"/>
      <c r="I138" s="21"/>
      <c r="J138" s="3"/>
    </row>
    <row r="139" ht="15.75" customHeight="1">
      <c r="A139" s="3"/>
      <c r="B139" s="10"/>
      <c r="C139" s="10"/>
      <c r="D139" s="10"/>
      <c r="E139" s="3"/>
      <c r="F139" s="3"/>
      <c r="G139" s="13"/>
      <c r="H139" s="3"/>
      <c r="I139" s="21"/>
      <c r="J139" s="3"/>
    </row>
    <row r="140" ht="15.75" customHeight="1">
      <c r="A140" s="3"/>
      <c r="B140" s="10"/>
      <c r="C140" s="10"/>
      <c r="D140" s="10"/>
      <c r="E140" s="3"/>
      <c r="F140" s="3"/>
      <c r="G140" s="13"/>
      <c r="H140" s="3"/>
      <c r="I140" s="21"/>
      <c r="J140" s="3"/>
    </row>
    <row r="141" ht="15.75" customHeight="1">
      <c r="A141" s="3"/>
      <c r="B141" s="10"/>
      <c r="C141" s="10"/>
      <c r="D141" s="10"/>
      <c r="E141" s="3"/>
      <c r="F141" s="3"/>
      <c r="G141" s="13"/>
      <c r="H141" s="3"/>
      <c r="I141" s="21"/>
      <c r="J141" s="3"/>
    </row>
    <row r="142" ht="15.75" customHeight="1">
      <c r="A142" s="3"/>
      <c r="B142" s="10"/>
      <c r="C142" s="10"/>
      <c r="D142" s="10"/>
      <c r="E142" s="3"/>
      <c r="F142" s="3"/>
      <c r="G142" s="13"/>
      <c r="H142" s="3"/>
      <c r="I142" s="21"/>
      <c r="J142" s="3"/>
    </row>
    <row r="143" ht="15.75" customHeight="1">
      <c r="A143" s="3"/>
      <c r="B143" s="10"/>
      <c r="C143" s="10"/>
      <c r="D143" s="10"/>
      <c r="E143" s="3"/>
      <c r="F143" s="3"/>
      <c r="G143" s="13"/>
      <c r="H143" s="3"/>
      <c r="I143" s="21"/>
      <c r="J143" s="3"/>
    </row>
    <row r="144" ht="15.75" customHeight="1">
      <c r="A144" s="3"/>
      <c r="B144" s="10"/>
      <c r="C144" s="10"/>
      <c r="D144" s="10"/>
      <c r="E144" s="3"/>
      <c r="F144" s="3"/>
      <c r="G144" s="13"/>
      <c r="H144" s="3"/>
      <c r="I144" s="21"/>
      <c r="J144" s="3"/>
    </row>
    <row r="145" ht="15.75" customHeight="1">
      <c r="A145" s="3"/>
      <c r="B145" s="10"/>
      <c r="C145" s="10"/>
      <c r="D145" s="10"/>
      <c r="E145" s="3"/>
      <c r="F145" s="3"/>
      <c r="G145" s="13"/>
      <c r="H145" s="3"/>
      <c r="I145" s="21"/>
      <c r="J145" s="3"/>
    </row>
    <row r="146" ht="15.75" customHeight="1">
      <c r="A146" s="3"/>
      <c r="B146" s="10"/>
      <c r="C146" s="10"/>
      <c r="D146" s="10"/>
      <c r="E146" s="3"/>
      <c r="F146" s="3"/>
      <c r="G146" s="13"/>
      <c r="H146" s="3"/>
      <c r="I146" s="21"/>
      <c r="J146" s="3"/>
    </row>
    <row r="147" ht="15.75" customHeight="1">
      <c r="A147" s="3"/>
      <c r="B147" s="10"/>
      <c r="C147" s="10"/>
      <c r="D147" s="10"/>
      <c r="E147" s="3"/>
      <c r="F147" s="3"/>
      <c r="G147" s="13"/>
      <c r="H147" s="3"/>
      <c r="I147" s="21"/>
      <c r="J147" s="3"/>
    </row>
    <row r="148" ht="15.75" customHeight="1">
      <c r="A148" s="13"/>
      <c r="B148" s="12"/>
      <c r="C148" s="12"/>
      <c r="D148" s="12"/>
      <c r="E148" s="13"/>
      <c r="F148" s="13"/>
      <c r="G148" s="13"/>
      <c r="H148" s="13"/>
      <c r="I148" s="21"/>
      <c r="J148" s="13"/>
      <c r="K148" s="35"/>
      <c r="L148" s="35"/>
      <c r="M148" s="3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</row>
    <row r="149" ht="15.75" customHeight="1">
      <c r="A149" s="3"/>
      <c r="B149" s="10"/>
      <c r="C149" s="10"/>
      <c r="D149" s="10"/>
      <c r="E149" s="3"/>
      <c r="F149" s="3"/>
      <c r="G149" s="13"/>
      <c r="H149" s="3"/>
      <c r="I149" s="21"/>
      <c r="J149" s="3"/>
    </row>
    <row r="150" ht="15.75" customHeight="1">
      <c r="A150" s="3"/>
      <c r="B150" s="10"/>
      <c r="C150" s="10"/>
      <c r="D150" s="10"/>
      <c r="E150" s="3"/>
      <c r="F150" s="3"/>
      <c r="G150" s="13"/>
      <c r="H150" s="3"/>
      <c r="I150" s="21"/>
      <c r="J150" s="3"/>
    </row>
    <row r="151" ht="15.75" customHeight="1">
      <c r="A151" s="3"/>
      <c r="B151" s="10"/>
      <c r="C151" s="10"/>
      <c r="D151" s="10"/>
      <c r="E151" s="3"/>
      <c r="F151" s="3"/>
      <c r="G151" s="13"/>
      <c r="H151" s="3"/>
      <c r="I151" s="21"/>
      <c r="J151" s="3"/>
    </row>
    <row r="152" ht="15.75" customHeight="1">
      <c r="A152" s="3"/>
      <c r="B152" s="10"/>
      <c r="C152" s="10"/>
      <c r="D152" s="10"/>
      <c r="E152" s="3"/>
      <c r="F152" s="3"/>
      <c r="G152" s="13"/>
      <c r="H152" s="3"/>
      <c r="I152" s="21"/>
      <c r="J152" s="3"/>
    </row>
    <row r="153" ht="15.75" customHeight="1">
      <c r="A153" s="3"/>
      <c r="B153" s="10"/>
      <c r="C153" s="10"/>
      <c r="D153" s="10"/>
      <c r="E153" s="3"/>
      <c r="F153" s="3"/>
      <c r="G153" s="13"/>
      <c r="H153" s="3"/>
      <c r="I153" s="21"/>
      <c r="J153" s="3"/>
    </row>
    <row r="154" ht="15.75" customHeight="1">
      <c r="A154" s="3"/>
      <c r="B154" s="10"/>
      <c r="C154" s="10"/>
      <c r="D154" s="10"/>
      <c r="E154" s="3"/>
      <c r="F154" s="3"/>
      <c r="G154" s="13"/>
      <c r="H154" s="3"/>
      <c r="I154" s="21"/>
      <c r="J154" s="3"/>
    </row>
    <row r="155" ht="15.75" customHeight="1">
      <c r="A155" s="3"/>
      <c r="B155" s="10"/>
      <c r="C155" s="10"/>
      <c r="D155" s="10"/>
      <c r="E155" s="3"/>
      <c r="F155" s="3"/>
      <c r="G155" s="13"/>
      <c r="H155" s="3"/>
      <c r="I155" s="21"/>
      <c r="J155" s="3"/>
    </row>
    <row r="156" ht="15.75" customHeight="1">
      <c r="A156" s="3"/>
      <c r="B156" s="10"/>
      <c r="C156" s="10"/>
      <c r="D156" s="10"/>
      <c r="E156" s="3"/>
      <c r="F156" s="3"/>
      <c r="G156" s="13"/>
      <c r="H156" s="3"/>
      <c r="I156" s="21"/>
      <c r="J156" s="3"/>
    </row>
    <row r="157" ht="15.75" customHeight="1">
      <c r="A157" s="3"/>
      <c r="B157" s="10"/>
      <c r="C157" s="10"/>
      <c r="D157" s="10"/>
      <c r="E157" s="3"/>
      <c r="F157" s="3"/>
      <c r="G157" s="13"/>
      <c r="H157" s="3"/>
      <c r="I157" s="21"/>
      <c r="J157" s="3"/>
    </row>
    <row r="158" ht="15.75" customHeight="1">
      <c r="A158" s="3"/>
      <c r="B158" s="20"/>
      <c r="C158" s="10"/>
      <c r="D158" s="10"/>
      <c r="E158" s="3"/>
      <c r="F158" s="3"/>
      <c r="G158" s="13"/>
      <c r="H158" s="3"/>
      <c r="I158" s="21"/>
      <c r="J158" s="3"/>
    </row>
    <row r="159" ht="15.75" customHeight="1">
      <c r="A159" s="3"/>
      <c r="B159" s="10"/>
      <c r="C159" s="10"/>
      <c r="D159" s="10"/>
      <c r="E159" s="3"/>
      <c r="F159" s="3"/>
      <c r="G159" s="13"/>
      <c r="H159" s="3"/>
      <c r="I159" s="21"/>
      <c r="J159" s="3"/>
    </row>
    <row r="160" ht="15.75" customHeight="1">
      <c r="A160" s="3"/>
      <c r="B160" s="10"/>
      <c r="C160" s="10"/>
      <c r="D160" s="10"/>
      <c r="E160" s="3"/>
      <c r="F160" s="3"/>
      <c r="G160" s="13"/>
      <c r="H160" s="3"/>
      <c r="I160" s="21"/>
      <c r="J160" s="3"/>
    </row>
    <row r="161" ht="15.75" customHeight="1">
      <c r="A161" s="3"/>
      <c r="B161" s="10"/>
      <c r="C161" s="10"/>
      <c r="D161" s="10"/>
      <c r="E161" s="3"/>
      <c r="F161" s="3"/>
      <c r="G161" s="13"/>
      <c r="H161" s="3"/>
      <c r="I161" s="21"/>
      <c r="J161" s="3"/>
    </row>
    <row r="162" ht="15.75" customHeight="1">
      <c r="B162" s="23"/>
      <c r="G162" s="25"/>
      <c r="I162" s="22"/>
    </row>
    <row r="163" ht="15.75" customHeight="1">
      <c r="G163" s="25"/>
      <c r="I163" s="22"/>
    </row>
    <row r="164" ht="15.75" customHeight="1">
      <c r="G164" s="25"/>
      <c r="I164" s="22"/>
    </row>
    <row r="165" ht="15.75" customHeight="1">
      <c r="G165" s="25"/>
      <c r="I165" s="22"/>
    </row>
    <row r="166" ht="15.75" customHeight="1">
      <c r="G166" s="25"/>
      <c r="I166" s="22"/>
    </row>
    <row r="167" ht="15.75" customHeight="1">
      <c r="G167" s="25"/>
      <c r="I167" s="22"/>
    </row>
    <row r="168" ht="15.75" customHeight="1">
      <c r="G168" s="25"/>
      <c r="I168" s="22"/>
    </row>
    <row r="169" ht="15.75" customHeight="1">
      <c r="G169" s="25"/>
      <c r="I169" s="22"/>
    </row>
    <row r="170" ht="15.75" customHeight="1">
      <c r="G170" s="25"/>
      <c r="I170" s="22"/>
    </row>
    <row r="171" ht="15.75" customHeight="1">
      <c r="G171" s="25"/>
      <c r="I171" s="22"/>
    </row>
    <row r="172" ht="15.75" customHeight="1">
      <c r="B172" s="24"/>
      <c r="G172" s="25"/>
      <c r="I172" s="22"/>
    </row>
    <row r="173" ht="15.75" customHeight="1">
      <c r="G173" s="25"/>
      <c r="I173" s="22"/>
    </row>
    <row r="174" ht="15.75" customHeight="1">
      <c r="B174" s="23"/>
      <c r="G174" s="25"/>
      <c r="I174" s="22"/>
    </row>
    <row r="175" ht="15.75" customHeight="1">
      <c r="G175" s="25"/>
      <c r="I175" s="22"/>
    </row>
    <row r="176" ht="15.75" customHeight="1">
      <c r="G176" s="25"/>
      <c r="I176" s="22"/>
    </row>
    <row r="177" ht="15.75" customHeight="1">
      <c r="G177" s="25"/>
      <c r="I177" s="22"/>
    </row>
    <row r="178" ht="15.75" customHeight="1">
      <c r="G178" s="25"/>
      <c r="I178" s="22"/>
    </row>
    <row r="179" ht="15.75" customHeight="1">
      <c r="G179" s="25"/>
      <c r="I179" s="22"/>
    </row>
    <row r="180" ht="15.75" customHeight="1">
      <c r="G180" s="25"/>
      <c r="I180" s="22"/>
    </row>
    <row r="181" ht="15.75" customHeight="1">
      <c r="G181" s="25"/>
      <c r="I181" s="22"/>
    </row>
    <row r="182" ht="15.75" customHeight="1">
      <c r="G182" s="25"/>
      <c r="I182" s="22"/>
    </row>
    <row r="183" ht="15.75" customHeight="1">
      <c r="G183" s="25"/>
      <c r="I183" s="22"/>
    </row>
    <row r="184" ht="15.75" customHeight="1">
      <c r="G184" s="25"/>
      <c r="I184" s="22"/>
    </row>
    <row r="185" ht="15.75" customHeight="1">
      <c r="G185" s="25"/>
      <c r="I185" s="22"/>
    </row>
    <row r="186" ht="15.75" customHeight="1">
      <c r="G186" s="25"/>
      <c r="I186" s="22"/>
    </row>
    <row r="187" ht="15.75" customHeight="1">
      <c r="G187" s="25"/>
      <c r="I187" s="22"/>
    </row>
    <row r="188" ht="15.75" customHeight="1">
      <c r="G188" s="25"/>
      <c r="I188" s="22"/>
    </row>
    <row r="189" ht="15.75" customHeight="1">
      <c r="G189" s="25"/>
      <c r="I189" s="22"/>
    </row>
    <row r="190" ht="15.75" customHeight="1">
      <c r="G190" s="25"/>
      <c r="I190" s="22"/>
    </row>
    <row r="191" ht="15.75" customHeight="1">
      <c r="G191" s="25"/>
      <c r="I191" s="22"/>
    </row>
    <row r="192" ht="15.75" customHeight="1">
      <c r="G192" s="25"/>
      <c r="I192" s="22"/>
    </row>
    <row r="193" ht="15.75" customHeight="1">
      <c r="G193" s="25"/>
      <c r="I193" s="22"/>
    </row>
    <row r="194" ht="15.75" customHeight="1">
      <c r="G194" s="25"/>
      <c r="I194" s="22"/>
    </row>
    <row r="195" ht="15.75" customHeight="1">
      <c r="G195" s="25"/>
      <c r="I195" s="22"/>
    </row>
    <row r="196" ht="15.75" customHeight="1">
      <c r="G196" s="25"/>
      <c r="I196" s="22"/>
    </row>
    <row r="197" ht="15.75" customHeight="1">
      <c r="G197" s="25"/>
      <c r="I197" s="22"/>
    </row>
    <row r="198" ht="15.75" customHeight="1">
      <c r="G198" s="25"/>
      <c r="I198" s="22"/>
    </row>
    <row r="199" ht="15.75" customHeight="1">
      <c r="G199" s="25"/>
      <c r="I199" s="22"/>
    </row>
    <row r="200" ht="15.75" customHeight="1">
      <c r="G200" s="25"/>
      <c r="I200" s="22"/>
    </row>
    <row r="201" ht="15.75" customHeight="1">
      <c r="G201" s="25"/>
      <c r="I201" s="22"/>
    </row>
    <row r="202" ht="15.75" customHeight="1">
      <c r="G202" s="25"/>
      <c r="I202" s="22"/>
    </row>
    <row r="203" ht="15.75" customHeight="1">
      <c r="G203" s="25"/>
      <c r="I203" s="22"/>
    </row>
    <row r="204" ht="15.75" customHeight="1">
      <c r="G204" s="25"/>
      <c r="I204" s="22"/>
    </row>
    <row r="205" ht="15.75" customHeight="1">
      <c r="G205" s="25"/>
      <c r="I205" s="22"/>
    </row>
    <row r="206" ht="15.75" customHeight="1">
      <c r="G206" s="25"/>
      <c r="I206" s="22"/>
    </row>
    <row r="207" ht="15.75" customHeight="1">
      <c r="G207" s="25"/>
      <c r="I207" s="22"/>
    </row>
    <row r="208" ht="15.75" customHeight="1">
      <c r="G208" s="25"/>
      <c r="I208" s="22"/>
    </row>
    <row r="209" ht="15.75" customHeight="1">
      <c r="G209" s="25"/>
      <c r="I209" s="22"/>
    </row>
    <row r="210" ht="15.75" customHeight="1">
      <c r="G210" s="25"/>
      <c r="I210" s="22"/>
    </row>
    <row r="211" ht="15.75" customHeight="1">
      <c r="G211" s="25"/>
      <c r="I211" s="22"/>
    </row>
    <row r="212" ht="15.75" customHeight="1">
      <c r="G212" s="25"/>
      <c r="I212" s="22"/>
    </row>
    <row r="213" ht="15.75" customHeight="1">
      <c r="G213" s="25"/>
      <c r="I213" s="22"/>
    </row>
    <row r="214" ht="15.75" customHeight="1">
      <c r="G214" s="25"/>
      <c r="I214" s="22"/>
    </row>
    <row r="215" ht="15.75" customHeight="1">
      <c r="G215" s="25"/>
      <c r="I215" s="22"/>
    </row>
    <row r="216" ht="15.75" customHeight="1">
      <c r="G216" s="25"/>
      <c r="I216" s="22"/>
    </row>
    <row r="217" ht="15.75" customHeight="1">
      <c r="G217" s="25"/>
      <c r="I217" s="22"/>
    </row>
    <row r="218" ht="15.75" customHeight="1">
      <c r="G218" s="25"/>
      <c r="I218" s="22"/>
    </row>
    <row r="219" ht="15.75" customHeight="1">
      <c r="G219" s="25"/>
      <c r="I219" s="22"/>
    </row>
    <row r="220" ht="15.75" customHeight="1">
      <c r="G220" s="25"/>
      <c r="I220" s="22"/>
    </row>
    <row r="221" ht="15.75" customHeight="1">
      <c r="G221" s="25"/>
      <c r="I221" s="22"/>
    </row>
    <row r="222" ht="15.75" customHeight="1">
      <c r="G222" s="25"/>
      <c r="I222" s="22"/>
    </row>
    <row r="223" ht="15.75" customHeight="1">
      <c r="G223" s="25"/>
      <c r="I223" s="22"/>
    </row>
    <row r="224" ht="15.75" customHeight="1">
      <c r="G224" s="25"/>
      <c r="I224" s="22"/>
    </row>
    <row r="225" ht="15.75" customHeight="1">
      <c r="G225" s="25"/>
      <c r="I225" s="22"/>
    </row>
    <row r="226" ht="15.75" customHeight="1">
      <c r="G226" s="25"/>
      <c r="I226" s="22"/>
    </row>
    <row r="227" ht="15.75" customHeight="1">
      <c r="G227" s="25"/>
      <c r="I227" s="22"/>
    </row>
    <row r="228" ht="15.75" customHeight="1">
      <c r="G228" s="25"/>
      <c r="I228" s="22"/>
    </row>
    <row r="229" ht="15.75" customHeight="1">
      <c r="G229" s="25"/>
      <c r="I229" s="22"/>
    </row>
    <row r="230" ht="15.75" customHeight="1">
      <c r="G230" s="25"/>
      <c r="I230" s="22"/>
    </row>
    <row r="231" ht="15.75" customHeight="1">
      <c r="G231" s="25"/>
      <c r="I231" s="22"/>
    </row>
    <row r="232" ht="15.75" customHeight="1">
      <c r="G232" s="25"/>
      <c r="I232" s="22"/>
    </row>
    <row r="233" ht="15.75" customHeight="1">
      <c r="G233" s="25"/>
      <c r="I233" s="22"/>
    </row>
    <row r="234" ht="15.75" customHeight="1">
      <c r="G234" s="25"/>
      <c r="I234" s="22"/>
    </row>
    <row r="235" ht="15.75" customHeight="1">
      <c r="G235" s="25"/>
      <c r="I235" s="22"/>
    </row>
    <row r="236" ht="15.75" customHeight="1">
      <c r="G236" s="25"/>
      <c r="I236" s="22"/>
    </row>
    <row r="237" ht="15.75" customHeight="1">
      <c r="G237" s="25"/>
      <c r="I237" s="22"/>
    </row>
    <row r="238" ht="15.75" customHeight="1">
      <c r="G238" s="25"/>
      <c r="I238" s="22"/>
    </row>
    <row r="239" ht="15.75" customHeight="1">
      <c r="G239" s="25"/>
      <c r="I239" s="22"/>
    </row>
    <row r="240" ht="15.75" customHeight="1">
      <c r="G240" s="25"/>
      <c r="I240" s="22"/>
    </row>
    <row r="241" ht="15.75" customHeight="1">
      <c r="G241" s="25"/>
      <c r="I241" s="22"/>
    </row>
    <row r="242" ht="15.75" customHeight="1">
      <c r="G242" s="25"/>
      <c r="I242" s="22"/>
    </row>
    <row r="243" ht="15.75" customHeight="1">
      <c r="G243" s="25"/>
      <c r="I243" s="22"/>
    </row>
    <row r="244" ht="15.75" customHeight="1">
      <c r="G244" s="25"/>
      <c r="I244" s="22"/>
    </row>
    <row r="245" ht="15.75" customHeight="1">
      <c r="G245" s="25"/>
      <c r="I245" s="22"/>
    </row>
    <row r="246" ht="15.75" customHeight="1">
      <c r="G246" s="25"/>
      <c r="I246" s="22"/>
    </row>
    <row r="247" ht="15.75" customHeight="1">
      <c r="G247" s="25"/>
      <c r="I247" s="22"/>
    </row>
    <row r="248" ht="15.75" customHeight="1">
      <c r="G248" s="25"/>
      <c r="I248" s="22"/>
    </row>
    <row r="249" ht="15.75" customHeight="1">
      <c r="G249" s="25"/>
      <c r="I249" s="22"/>
    </row>
    <row r="250" ht="15.75" customHeight="1">
      <c r="G250" s="25"/>
      <c r="I250" s="22"/>
    </row>
    <row r="251" ht="15.75" customHeight="1">
      <c r="G251" s="25"/>
      <c r="I251" s="22"/>
    </row>
    <row r="252" ht="15.75" customHeight="1">
      <c r="G252" s="25"/>
      <c r="I252" s="22"/>
    </row>
    <row r="253" ht="15.75" customHeight="1">
      <c r="G253" s="25"/>
      <c r="I253" s="22"/>
    </row>
    <row r="254" ht="15.75" customHeight="1">
      <c r="G254" s="25"/>
      <c r="I254" s="22"/>
    </row>
    <row r="255" ht="15.75" customHeight="1">
      <c r="G255" s="25"/>
      <c r="I255" s="22"/>
    </row>
    <row r="256" ht="15.75" customHeight="1">
      <c r="G256" s="25"/>
      <c r="I256" s="22"/>
    </row>
    <row r="257" ht="15.75" customHeight="1">
      <c r="G257" s="25"/>
      <c r="I257" s="22"/>
    </row>
    <row r="258" ht="15.75" customHeight="1">
      <c r="G258" s="25"/>
      <c r="I258" s="22"/>
    </row>
    <row r="259" ht="15.75" customHeight="1">
      <c r="G259" s="25"/>
      <c r="I259" s="22"/>
    </row>
    <row r="260" ht="15.75" customHeight="1">
      <c r="G260" s="25"/>
      <c r="I260" s="22"/>
    </row>
    <row r="261" ht="15.75" customHeight="1">
      <c r="G261" s="25"/>
      <c r="I261" s="22"/>
    </row>
    <row r="262" ht="15.75" customHeight="1">
      <c r="G262" s="25"/>
      <c r="I262" s="22"/>
    </row>
    <row r="263" ht="15.75" customHeight="1">
      <c r="G263" s="25"/>
      <c r="I263" s="22"/>
    </row>
    <row r="264" ht="15.75" customHeight="1">
      <c r="G264" s="25"/>
      <c r="I264" s="22"/>
    </row>
    <row r="265" ht="15.75" customHeight="1">
      <c r="G265" s="25"/>
      <c r="I265" s="22"/>
    </row>
    <row r="266" ht="15.75" customHeight="1">
      <c r="G266" s="25"/>
      <c r="I266" s="22"/>
    </row>
    <row r="267" ht="15.75" customHeight="1">
      <c r="G267" s="25"/>
      <c r="I267" s="22"/>
    </row>
    <row r="268" ht="15.75" customHeight="1">
      <c r="G268" s="25"/>
      <c r="I268" s="22"/>
    </row>
    <row r="269" ht="15.75" customHeight="1">
      <c r="G269" s="25"/>
      <c r="I269" s="22"/>
    </row>
    <row r="270" ht="15.75" customHeight="1">
      <c r="G270" s="25"/>
      <c r="I270" s="22"/>
    </row>
    <row r="271" ht="15.75" customHeight="1">
      <c r="G271" s="25"/>
      <c r="I271" s="22"/>
    </row>
    <row r="272" ht="15.75" customHeight="1">
      <c r="G272" s="25"/>
      <c r="I272" s="22"/>
    </row>
    <row r="273" ht="15.75" customHeight="1">
      <c r="G273" s="25"/>
      <c r="I273" s="22"/>
    </row>
    <row r="274" ht="15.75" customHeight="1">
      <c r="G274" s="25"/>
      <c r="I274" s="22"/>
    </row>
    <row r="275" ht="15.75" customHeight="1">
      <c r="G275" s="25"/>
      <c r="I275" s="22"/>
    </row>
    <row r="276" ht="15.75" customHeight="1">
      <c r="G276" s="25"/>
      <c r="I276" s="22"/>
    </row>
    <row r="277" ht="15.75" customHeight="1">
      <c r="G277" s="25"/>
      <c r="I277" s="22"/>
    </row>
    <row r="278" ht="15.75" customHeight="1">
      <c r="G278" s="25"/>
      <c r="I278" s="22"/>
    </row>
    <row r="279" ht="15.75" customHeight="1">
      <c r="G279" s="25"/>
      <c r="I279" s="22"/>
    </row>
    <row r="280" ht="15.75" customHeight="1">
      <c r="G280" s="25"/>
      <c r="I280" s="22"/>
    </row>
    <row r="281" ht="15.75" customHeight="1">
      <c r="G281" s="25"/>
      <c r="I281" s="22"/>
    </row>
    <row r="282" ht="15.75" customHeight="1">
      <c r="G282" s="25"/>
      <c r="I282" s="22"/>
    </row>
    <row r="283" ht="15.75" customHeight="1">
      <c r="G283" s="25"/>
      <c r="I283" s="22"/>
    </row>
    <row r="284" ht="15.75" customHeight="1">
      <c r="G284" s="25"/>
      <c r="I284" s="22"/>
    </row>
    <row r="285" ht="15.75" customHeight="1">
      <c r="G285" s="25"/>
      <c r="I285" s="22"/>
    </row>
    <row r="286" ht="15.75" customHeight="1">
      <c r="G286" s="25"/>
      <c r="I286" s="22"/>
    </row>
    <row r="287" ht="15.75" customHeight="1">
      <c r="G287" s="25"/>
      <c r="I287" s="22"/>
    </row>
    <row r="288" ht="15.75" customHeight="1">
      <c r="G288" s="25"/>
      <c r="I288" s="22"/>
    </row>
    <row r="289" ht="15.75" customHeight="1">
      <c r="G289" s="25"/>
      <c r="I289" s="22"/>
    </row>
    <row r="290" ht="15.75" customHeight="1">
      <c r="G290" s="25"/>
      <c r="I290" s="22"/>
    </row>
    <row r="291" ht="15.75" customHeight="1">
      <c r="G291" s="25"/>
      <c r="I291" s="22"/>
    </row>
    <row r="292" ht="15.75" customHeight="1">
      <c r="G292" s="25"/>
      <c r="I292" s="22"/>
    </row>
    <row r="293" ht="15.75" customHeight="1">
      <c r="G293" s="25"/>
      <c r="I293" s="22"/>
    </row>
    <row r="294" ht="15.75" customHeight="1">
      <c r="G294" s="25"/>
      <c r="I294" s="22"/>
    </row>
    <row r="295" ht="15.75" customHeight="1">
      <c r="G295" s="25"/>
      <c r="I295" s="22"/>
    </row>
    <row r="296" ht="15.75" customHeight="1">
      <c r="G296" s="25"/>
      <c r="I296" s="22"/>
    </row>
    <row r="297" ht="15.75" customHeight="1">
      <c r="G297" s="25"/>
      <c r="I297" s="22"/>
    </row>
    <row r="298" ht="15.75" customHeight="1">
      <c r="G298" s="25"/>
      <c r="I298" s="22"/>
    </row>
    <row r="299" ht="15.75" customHeight="1">
      <c r="G299" s="25"/>
      <c r="I299" s="22"/>
    </row>
    <row r="300" ht="15.75" customHeight="1">
      <c r="G300" s="25"/>
      <c r="I300" s="22"/>
    </row>
    <row r="301" ht="15.75" customHeight="1">
      <c r="G301" s="25"/>
      <c r="I301" s="22"/>
    </row>
    <row r="302" ht="15.75" customHeight="1">
      <c r="G302" s="25"/>
      <c r="I302" s="22"/>
    </row>
    <row r="303" ht="15.75" customHeight="1">
      <c r="G303" s="25"/>
      <c r="I303" s="22"/>
    </row>
    <row r="304" ht="15.75" customHeight="1">
      <c r="G304" s="25"/>
      <c r="I304" s="22"/>
    </row>
    <row r="305" ht="15.75" customHeight="1">
      <c r="G305" s="25"/>
      <c r="I305" s="22"/>
    </row>
    <row r="306" ht="15.75" customHeight="1">
      <c r="G306" s="25"/>
      <c r="I306" s="22"/>
    </row>
    <row r="307" ht="15.75" customHeight="1">
      <c r="G307" s="25"/>
      <c r="I307" s="22"/>
    </row>
    <row r="308" ht="15.75" customHeight="1">
      <c r="G308" s="25"/>
      <c r="I308" s="22"/>
    </row>
    <row r="309" ht="15.75" customHeight="1">
      <c r="G309" s="25"/>
      <c r="I309" s="22"/>
    </row>
    <row r="310" ht="15.75" customHeight="1">
      <c r="G310" s="25"/>
      <c r="I310" s="22"/>
    </row>
    <row r="311" ht="15.75" customHeight="1">
      <c r="G311" s="25"/>
      <c r="I311" s="22"/>
    </row>
    <row r="312" ht="15.75" customHeight="1">
      <c r="G312" s="25"/>
      <c r="I312" s="22"/>
    </row>
    <row r="313" ht="15.75" customHeight="1">
      <c r="G313" s="25"/>
      <c r="I313" s="22"/>
    </row>
    <row r="314" ht="15.75" customHeight="1">
      <c r="G314" s="25"/>
      <c r="I314" s="22"/>
    </row>
    <row r="315" ht="15.75" customHeight="1">
      <c r="G315" s="25"/>
      <c r="I315" s="22"/>
    </row>
    <row r="316" ht="15.75" customHeight="1">
      <c r="G316" s="25"/>
      <c r="I316" s="22"/>
    </row>
    <row r="317" ht="15.75" customHeight="1">
      <c r="G317" s="25"/>
      <c r="I317" s="22"/>
    </row>
    <row r="318" ht="15.75" customHeight="1">
      <c r="G318" s="25"/>
      <c r="I318" s="22"/>
    </row>
    <row r="319" ht="15.75" customHeight="1">
      <c r="G319" s="25"/>
      <c r="I319" s="22"/>
    </row>
    <row r="320" ht="15.75" customHeight="1">
      <c r="G320" s="25"/>
      <c r="I320" s="22"/>
    </row>
    <row r="321" ht="15.75" customHeight="1">
      <c r="G321" s="25"/>
      <c r="I321" s="22"/>
    </row>
    <row r="322" ht="15.75" customHeight="1">
      <c r="G322" s="25"/>
      <c r="I322" s="22"/>
    </row>
    <row r="323" ht="15.75" customHeight="1">
      <c r="G323" s="25"/>
      <c r="I323" s="22"/>
    </row>
    <row r="324" ht="15.75" customHeight="1">
      <c r="G324" s="25"/>
      <c r="I324" s="22"/>
    </row>
    <row r="325" ht="15.75" customHeight="1">
      <c r="G325" s="25"/>
      <c r="I325" s="22"/>
    </row>
    <row r="326" ht="15.75" customHeight="1">
      <c r="G326" s="25"/>
      <c r="I326" s="22"/>
    </row>
    <row r="327" ht="15.75" customHeight="1">
      <c r="G327" s="25"/>
      <c r="I327" s="22"/>
    </row>
    <row r="328" ht="15.75" customHeight="1">
      <c r="G328" s="25"/>
      <c r="I328" s="22"/>
    </row>
    <row r="329" ht="15.75" customHeight="1">
      <c r="G329" s="25"/>
      <c r="I329" s="22"/>
    </row>
    <row r="330" ht="15.75" customHeight="1">
      <c r="G330" s="25"/>
      <c r="I330" s="22"/>
    </row>
    <row r="331" ht="15.75" customHeight="1">
      <c r="G331" s="25"/>
      <c r="I331" s="22"/>
    </row>
    <row r="332" ht="15.75" customHeight="1">
      <c r="G332" s="25"/>
      <c r="I332" s="22"/>
    </row>
    <row r="333" ht="15.75" customHeight="1">
      <c r="G333" s="25"/>
      <c r="I333" s="22"/>
    </row>
    <row r="334" ht="15.75" customHeight="1">
      <c r="G334" s="25"/>
      <c r="I334" s="22"/>
    </row>
    <row r="335" ht="15.75" customHeight="1">
      <c r="G335" s="25"/>
      <c r="I335" s="22"/>
    </row>
    <row r="336" ht="15.75" customHeight="1">
      <c r="G336" s="25"/>
      <c r="I336" s="22"/>
    </row>
    <row r="337" ht="15.75" customHeight="1">
      <c r="G337" s="25"/>
      <c r="I337" s="22"/>
    </row>
    <row r="338" ht="15.75" customHeight="1">
      <c r="G338" s="25"/>
      <c r="I338" s="22"/>
    </row>
    <row r="339" ht="15.75" customHeight="1">
      <c r="G339" s="25"/>
      <c r="I339" s="22"/>
    </row>
    <row r="340" ht="15.75" customHeight="1">
      <c r="G340" s="25"/>
      <c r="I340" s="22"/>
    </row>
    <row r="341" ht="15.75" customHeight="1">
      <c r="G341" s="25"/>
      <c r="I341" s="22"/>
    </row>
    <row r="342" ht="15.75" customHeight="1">
      <c r="G342" s="25"/>
      <c r="I342" s="22"/>
    </row>
    <row r="343" ht="15.75" customHeight="1">
      <c r="G343" s="25"/>
      <c r="I343" s="22"/>
    </row>
    <row r="344" ht="15.75" customHeight="1">
      <c r="G344" s="25"/>
      <c r="I344" s="22"/>
    </row>
    <row r="345" ht="15.75" customHeight="1">
      <c r="G345" s="25"/>
      <c r="I345" s="22"/>
    </row>
    <row r="346" ht="15.75" customHeight="1">
      <c r="G346" s="25"/>
      <c r="I346" s="22"/>
    </row>
    <row r="347" ht="15.75" customHeight="1">
      <c r="G347" s="25"/>
      <c r="I347" s="22"/>
    </row>
    <row r="348" ht="15.75" customHeight="1">
      <c r="G348" s="25"/>
      <c r="I348" s="22"/>
    </row>
    <row r="349" ht="15.75" customHeight="1">
      <c r="G349" s="25"/>
      <c r="I349" s="22"/>
    </row>
    <row r="350" ht="15.75" customHeight="1">
      <c r="G350" s="25"/>
      <c r="I350" s="22"/>
    </row>
    <row r="351" ht="15.75" customHeight="1">
      <c r="G351" s="25"/>
      <c r="I351" s="22"/>
    </row>
    <row r="352" ht="15.75" customHeight="1">
      <c r="G352" s="25"/>
      <c r="I352" s="22"/>
    </row>
    <row r="353" ht="15.75" customHeight="1">
      <c r="G353" s="25"/>
      <c r="I353" s="22"/>
    </row>
    <row r="354" ht="15.75" customHeight="1">
      <c r="G354" s="25"/>
      <c r="I354" s="22"/>
    </row>
    <row r="355" ht="15.75" customHeight="1">
      <c r="G355" s="25"/>
      <c r="I355" s="22"/>
    </row>
    <row r="356" ht="15.75" customHeight="1">
      <c r="G356" s="25"/>
      <c r="I356" s="22"/>
    </row>
    <row r="357" ht="15.75" customHeight="1">
      <c r="G357" s="25"/>
      <c r="I357" s="22"/>
    </row>
    <row r="358" ht="15.75" customHeight="1">
      <c r="G358" s="25"/>
      <c r="I358" s="22"/>
    </row>
    <row r="359" ht="15.75" customHeight="1">
      <c r="G359" s="25"/>
      <c r="I359" s="22"/>
    </row>
    <row r="360" ht="15.75" customHeight="1">
      <c r="G360" s="25"/>
      <c r="I360" s="22"/>
    </row>
    <row r="361" ht="15.75" customHeight="1">
      <c r="G361" s="25"/>
      <c r="I361" s="22"/>
    </row>
    <row r="362" ht="15.75" customHeight="1">
      <c r="G362" s="25"/>
      <c r="I362" s="22"/>
    </row>
    <row r="363" ht="15.75" customHeight="1">
      <c r="G363" s="25"/>
      <c r="I363" s="22"/>
    </row>
    <row r="364" ht="15.75" customHeight="1">
      <c r="G364" s="25"/>
      <c r="I364" s="22"/>
    </row>
    <row r="365" ht="15.75" customHeight="1">
      <c r="G365" s="25"/>
      <c r="I365" s="22"/>
    </row>
    <row r="366" ht="15.75" customHeight="1">
      <c r="G366" s="25"/>
      <c r="I366" s="22"/>
    </row>
    <row r="367" ht="15.75" customHeight="1">
      <c r="G367" s="25"/>
      <c r="I367" s="22"/>
    </row>
    <row r="368" ht="15.75" customHeight="1">
      <c r="G368" s="25"/>
      <c r="I368" s="22"/>
    </row>
    <row r="369" ht="15.75" customHeight="1">
      <c r="G369" s="25"/>
      <c r="I369" s="22"/>
    </row>
    <row r="370" ht="15.75" customHeight="1">
      <c r="G370" s="25"/>
      <c r="I370" s="22"/>
    </row>
    <row r="371" ht="15.75" customHeight="1">
      <c r="G371" s="25"/>
      <c r="I371" s="22"/>
    </row>
    <row r="372" ht="15.75" customHeight="1">
      <c r="G372" s="25"/>
      <c r="I372" s="22"/>
    </row>
    <row r="373" ht="15.75" customHeight="1">
      <c r="G373" s="25"/>
      <c r="I373" s="22"/>
    </row>
    <row r="374" ht="15.75" customHeight="1">
      <c r="G374" s="25"/>
      <c r="I374" s="22"/>
    </row>
    <row r="375" ht="15.75" customHeight="1">
      <c r="G375" s="25"/>
      <c r="I375" s="22"/>
    </row>
    <row r="376" ht="15.75" customHeight="1">
      <c r="G376" s="25"/>
      <c r="I376" s="22"/>
    </row>
    <row r="377" ht="15.75" customHeight="1">
      <c r="G377" s="25"/>
      <c r="I377" s="22"/>
    </row>
    <row r="378" ht="15.75" customHeight="1">
      <c r="G378" s="25"/>
      <c r="I378" s="22"/>
    </row>
    <row r="379" ht="15.75" customHeight="1">
      <c r="G379" s="25"/>
      <c r="I379" s="22"/>
    </row>
    <row r="380" ht="15.75" customHeight="1">
      <c r="G380" s="25"/>
      <c r="I380" s="22"/>
    </row>
    <row r="381" ht="15.75" customHeight="1">
      <c r="G381" s="25"/>
      <c r="I381" s="22"/>
    </row>
    <row r="382" ht="15.75" customHeight="1">
      <c r="G382" s="25"/>
      <c r="I382" s="22"/>
    </row>
    <row r="383" ht="15.75" customHeight="1">
      <c r="G383" s="25"/>
      <c r="I383" s="22"/>
    </row>
    <row r="384" ht="15.75" customHeight="1">
      <c r="G384" s="25"/>
      <c r="I384" s="22"/>
    </row>
    <row r="385" ht="15.75" customHeight="1">
      <c r="G385" s="25"/>
      <c r="I385" s="22"/>
    </row>
    <row r="386" ht="15.75" customHeight="1">
      <c r="G386" s="25"/>
      <c r="I386" s="22"/>
    </row>
    <row r="387" ht="15.75" customHeight="1">
      <c r="G387" s="25"/>
      <c r="I387" s="22"/>
    </row>
    <row r="388" ht="15.75" customHeight="1">
      <c r="G388" s="25"/>
      <c r="I388" s="22"/>
    </row>
    <row r="389" ht="15.75" customHeight="1">
      <c r="G389" s="25"/>
      <c r="I389" s="22"/>
    </row>
    <row r="390" ht="15.75" customHeight="1">
      <c r="G390" s="25"/>
      <c r="I390" s="22"/>
    </row>
    <row r="391" ht="15.75" customHeight="1">
      <c r="G391" s="25"/>
      <c r="I391" s="22"/>
    </row>
    <row r="392" ht="15.75" customHeight="1">
      <c r="G392" s="25"/>
      <c r="I392" s="22"/>
    </row>
    <row r="393" ht="15.75" customHeight="1">
      <c r="G393" s="25"/>
      <c r="I393" s="22"/>
    </row>
    <row r="394" ht="15.75" customHeight="1">
      <c r="G394" s="25"/>
      <c r="I394" s="22"/>
    </row>
    <row r="395" ht="15.75" customHeight="1">
      <c r="G395" s="25"/>
      <c r="I395" s="22"/>
    </row>
    <row r="396" ht="15.75" customHeight="1">
      <c r="G396" s="25"/>
      <c r="I396" s="22"/>
    </row>
    <row r="397" ht="15.75" customHeight="1">
      <c r="G397" s="25"/>
      <c r="I397" s="22"/>
    </row>
    <row r="398" ht="15.75" customHeight="1">
      <c r="G398" s="25"/>
      <c r="I398" s="22"/>
    </row>
    <row r="399" ht="15.75" customHeight="1">
      <c r="G399" s="25"/>
      <c r="I399" s="22"/>
    </row>
    <row r="400" ht="15.75" customHeight="1">
      <c r="G400" s="25"/>
      <c r="I400" s="22"/>
    </row>
    <row r="401" ht="15.75" customHeight="1">
      <c r="G401" s="25"/>
      <c r="I401" s="22"/>
    </row>
    <row r="402" ht="15.75" customHeight="1">
      <c r="G402" s="25"/>
      <c r="I402" s="22"/>
    </row>
    <row r="403" ht="15.75" customHeight="1">
      <c r="G403" s="25"/>
      <c r="I403" s="22"/>
    </row>
    <row r="404" ht="15.75" customHeight="1">
      <c r="G404" s="25"/>
      <c r="I404" s="22"/>
    </row>
    <row r="405" ht="15.75" customHeight="1">
      <c r="G405" s="25"/>
      <c r="I405" s="22"/>
    </row>
    <row r="406" ht="15.75" customHeight="1">
      <c r="G406" s="25"/>
      <c r="I406" s="22"/>
    </row>
    <row r="407" ht="15.75" customHeight="1">
      <c r="G407" s="25"/>
      <c r="I407" s="22"/>
    </row>
    <row r="408" ht="15.75" customHeight="1">
      <c r="G408" s="25"/>
      <c r="I408" s="22"/>
    </row>
    <row r="409" ht="15.75" customHeight="1">
      <c r="G409" s="25"/>
      <c r="I409" s="22"/>
    </row>
    <row r="410" ht="15.75" customHeight="1">
      <c r="G410" s="25"/>
      <c r="I410" s="22"/>
    </row>
    <row r="411" ht="15.75" customHeight="1">
      <c r="G411" s="25"/>
      <c r="I411" s="22"/>
    </row>
    <row r="412" ht="15.75" customHeight="1">
      <c r="G412" s="25"/>
      <c r="I412" s="22"/>
    </row>
    <row r="413" ht="15.75" customHeight="1">
      <c r="G413" s="25"/>
      <c r="I413" s="22"/>
    </row>
    <row r="414" ht="15.75" customHeight="1">
      <c r="G414" s="25"/>
      <c r="I414" s="22"/>
    </row>
    <row r="415" ht="15.75" customHeight="1">
      <c r="G415" s="25"/>
      <c r="I415" s="22"/>
    </row>
    <row r="416" ht="15.75" customHeight="1">
      <c r="G416" s="25"/>
      <c r="I416" s="22"/>
    </row>
    <row r="417" ht="15.75" customHeight="1">
      <c r="G417" s="25"/>
      <c r="I417" s="22"/>
    </row>
    <row r="418" ht="15.75" customHeight="1">
      <c r="G418" s="25"/>
      <c r="I418" s="22"/>
    </row>
    <row r="419" ht="15.75" customHeight="1">
      <c r="G419" s="25"/>
      <c r="I419" s="22"/>
    </row>
    <row r="420" ht="15.75" customHeight="1">
      <c r="G420" s="25"/>
      <c r="I420" s="22"/>
    </row>
    <row r="421" ht="15.75" customHeight="1">
      <c r="G421" s="25"/>
      <c r="I421" s="22"/>
    </row>
    <row r="422" ht="15.75" customHeight="1">
      <c r="G422" s="25"/>
      <c r="I422" s="22"/>
    </row>
    <row r="423" ht="15.75" customHeight="1">
      <c r="G423" s="25"/>
      <c r="I423" s="22"/>
    </row>
    <row r="424" ht="15.75" customHeight="1">
      <c r="G424" s="25"/>
      <c r="I424" s="22"/>
    </row>
    <row r="425" ht="15.75" customHeight="1">
      <c r="G425" s="25"/>
      <c r="I425" s="22"/>
    </row>
    <row r="426" ht="15.75" customHeight="1">
      <c r="G426" s="25"/>
      <c r="I426" s="22"/>
    </row>
    <row r="427" ht="15.75" customHeight="1">
      <c r="G427" s="25"/>
      <c r="I427" s="22"/>
    </row>
    <row r="428" ht="15.75" customHeight="1">
      <c r="G428" s="25"/>
      <c r="I428" s="22"/>
    </row>
    <row r="429" ht="15.75" customHeight="1">
      <c r="G429" s="25"/>
      <c r="I429" s="22"/>
    </row>
    <row r="430" ht="15.75" customHeight="1">
      <c r="G430" s="25"/>
      <c r="I430" s="22"/>
    </row>
    <row r="431" ht="15.75" customHeight="1">
      <c r="G431" s="25"/>
      <c r="I431" s="22"/>
    </row>
    <row r="432" ht="15.75" customHeight="1">
      <c r="G432" s="25"/>
      <c r="I432" s="22"/>
    </row>
    <row r="433" ht="15.75" customHeight="1">
      <c r="G433" s="25"/>
      <c r="I433" s="22"/>
    </row>
    <row r="434" ht="15.75" customHeight="1">
      <c r="G434" s="25"/>
      <c r="I434" s="22"/>
    </row>
    <row r="435" ht="15.75" customHeight="1">
      <c r="G435" s="25"/>
      <c r="I435" s="22"/>
    </row>
    <row r="436" ht="15.75" customHeight="1">
      <c r="G436" s="25"/>
      <c r="I436" s="22"/>
    </row>
    <row r="437" ht="15.75" customHeight="1">
      <c r="G437" s="25"/>
      <c r="I437" s="22"/>
    </row>
    <row r="438" ht="15.75" customHeight="1">
      <c r="G438" s="25"/>
      <c r="I438" s="22"/>
    </row>
    <row r="439" ht="15.75" customHeight="1">
      <c r="G439" s="25"/>
      <c r="I439" s="22"/>
    </row>
    <row r="440" ht="15.75" customHeight="1">
      <c r="G440" s="25"/>
      <c r="I440" s="22"/>
    </row>
    <row r="441" ht="15.75" customHeight="1">
      <c r="G441" s="25"/>
      <c r="I441" s="22"/>
    </row>
    <row r="442" ht="15.75" customHeight="1">
      <c r="G442" s="25"/>
      <c r="I442" s="22"/>
    </row>
    <row r="443" ht="15.75" customHeight="1">
      <c r="G443" s="25"/>
      <c r="I443" s="22"/>
    </row>
    <row r="444" ht="15.75" customHeight="1">
      <c r="G444" s="25"/>
      <c r="I444" s="22"/>
    </row>
    <row r="445" ht="15.75" customHeight="1">
      <c r="G445" s="25"/>
      <c r="I445" s="22"/>
    </row>
    <row r="446" ht="15.75" customHeight="1">
      <c r="G446" s="25"/>
      <c r="I446" s="22"/>
    </row>
    <row r="447" ht="15.75" customHeight="1">
      <c r="G447" s="25"/>
      <c r="I447" s="22"/>
    </row>
    <row r="448" ht="15.75" customHeight="1">
      <c r="G448" s="25"/>
      <c r="I448" s="22"/>
    </row>
    <row r="449" ht="15.75" customHeight="1">
      <c r="G449" s="25"/>
      <c r="I449" s="22"/>
    </row>
    <row r="450" ht="15.75" customHeight="1">
      <c r="G450" s="25"/>
      <c r="I450" s="22"/>
    </row>
    <row r="451" ht="15.75" customHeight="1">
      <c r="G451" s="25"/>
      <c r="I451" s="22"/>
    </row>
    <row r="452" ht="15.75" customHeight="1">
      <c r="G452" s="25"/>
      <c r="I452" s="22"/>
    </row>
    <row r="453" ht="15.75" customHeight="1">
      <c r="G453" s="25"/>
      <c r="I453" s="22"/>
    </row>
    <row r="454" ht="15.75" customHeight="1">
      <c r="G454" s="25"/>
      <c r="I454" s="22"/>
    </row>
    <row r="455" ht="15.75" customHeight="1">
      <c r="G455" s="25"/>
      <c r="I455" s="22"/>
    </row>
    <row r="456" ht="15.75" customHeight="1">
      <c r="G456" s="25"/>
      <c r="I456" s="22"/>
    </row>
    <row r="457" ht="15.75" customHeight="1">
      <c r="G457" s="25"/>
      <c r="I457" s="22"/>
    </row>
    <row r="458" ht="15.75" customHeight="1">
      <c r="G458" s="25"/>
      <c r="I458" s="22"/>
    </row>
    <row r="459" ht="15.75" customHeight="1">
      <c r="G459" s="25"/>
      <c r="I459" s="22"/>
    </row>
    <row r="460" ht="15.75" customHeight="1">
      <c r="G460" s="25"/>
      <c r="I460" s="22"/>
    </row>
    <row r="461" ht="15.75" customHeight="1">
      <c r="G461" s="25"/>
      <c r="I461" s="22"/>
    </row>
    <row r="462" ht="15.75" customHeight="1">
      <c r="G462" s="25"/>
      <c r="I462" s="22"/>
    </row>
    <row r="463" ht="15.75" customHeight="1">
      <c r="G463" s="25"/>
      <c r="I463" s="22"/>
    </row>
    <row r="464" ht="15.75" customHeight="1">
      <c r="G464" s="25"/>
      <c r="I464" s="22"/>
    </row>
    <row r="465" ht="15.75" customHeight="1">
      <c r="G465" s="25"/>
      <c r="I465" s="22"/>
    </row>
    <row r="466" ht="15.75" customHeight="1">
      <c r="G466" s="25"/>
      <c r="I466" s="22"/>
    </row>
    <row r="467" ht="15.75" customHeight="1">
      <c r="G467" s="25"/>
      <c r="I467" s="22"/>
    </row>
    <row r="468" ht="15.75" customHeight="1">
      <c r="G468" s="25"/>
      <c r="I468" s="22"/>
    </row>
    <row r="469" ht="15.75" customHeight="1">
      <c r="G469" s="25"/>
      <c r="I469" s="22"/>
    </row>
    <row r="470" ht="15.75" customHeight="1">
      <c r="G470" s="25"/>
      <c r="I470" s="22"/>
    </row>
    <row r="471" ht="15.75" customHeight="1">
      <c r="G471" s="25"/>
      <c r="I471" s="22"/>
    </row>
    <row r="472" ht="15.75" customHeight="1">
      <c r="G472" s="25"/>
      <c r="I472" s="22"/>
    </row>
    <row r="473" ht="15.75" customHeight="1">
      <c r="G473" s="25"/>
      <c r="I473" s="22"/>
    </row>
    <row r="474" ht="15.75" customHeight="1">
      <c r="G474" s="25"/>
      <c r="I474" s="22"/>
    </row>
    <row r="475" ht="15.75" customHeight="1">
      <c r="G475" s="25"/>
      <c r="I475" s="22"/>
    </row>
    <row r="476" ht="15.75" customHeight="1">
      <c r="G476" s="25"/>
      <c r="I476" s="22"/>
    </row>
    <row r="477" ht="15.75" customHeight="1">
      <c r="G477" s="25"/>
      <c r="I477" s="22"/>
    </row>
    <row r="478" ht="15.75" customHeight="1">
      <c r="G478" s="25"/>
      <c r="I478" s="22"/>
    </row>
    <row r="479" ht="15.75" customHeight="1">
      <c r="G479" s="25"/>
      <c r="I479" s="22"/>
    </row>
    <row r="480" ht="15.75" customHeight="1">
      <c r="G480" s="25"/>
      <c r="I480" s="22"/>
    </row>
    <row r="481" ht="15.75" customHeight="1">
      <c r="G481" s="25"/>
      <c r="I481" s="22"/>
    </row>
    <row r="482" ht="15.75" customHeight="1">
      <c r="G482" s="25"/>
      <c r="I482" s="22"/>
    </row>
    <row r="483" ht="15.75" customHeight="1">
      <c r="G483" s="25"/>
      <c r="I483" s="22"/>
    </row>
    <row r="484" ht="15.75" customHeight="1">
      <c r="G484" s="25"/>
      <c r="I484" s="22"/>
    </row>
    <row r="485" ht="15.75" customHeight="1">
      <c r="G485" s="25"/>
      <c r="I485" s="22"/>
    </row>
    <row r="486" ht="15.75" customHeight="1">
      <c r="G486" s="25"/>
      <c r="I486" s="22"/>
    </row>
    <row r="487" ht="15.75" customHeight="1">
      <c r="G487" s="25"/>
      <c r="I487" s="22"/>
    </row>
    <row r="488" ht="15.75" customHeight="1">
      <c r="G488" s="25"/>
      <c r="I488" s="22"/>
    </row>
    <row r="489" ht="15.75" customHeight="1">
      <c r="G489" s="25"/>
      <c r="I489" s="22"/>
    </row>
    <row r="490" ht="15.75" customHeight="1">
      <c r="G490" s="25"/>
      <c r="I490" s="22"/>
    </row>
    <row r="491" ht="15.75" customHeight="1">
      <c r="G491" s="25"/>
      <c r="I491" s="22"/>
    </row>
    <row r="492" ht="15.75" customHeight="1">
      <c r="G492" s="25"/>
      <c r="I492" s="22"/>
    </row>
    <row r="493" ht="15.75" customHeight="1">
      <c r="G493" s="25"/>
      <c r="I493" s="22"/>
    </row>
    <row r="494" ht="15.75" customHeight="1">
      <c r="G494" s="25"/>
      <c r="I494" s="22"/>
    </row>
    <row r="495" ht="15.75" customHeight="1">
      <c r="G495" s="25"/>
      <c r="I495" s="22"/>
    </row>
    <row r="496" ht="15.75" customHeight="1">
      <c r="G496" s="25"/>
      <c r="I496" s="22"/>
    </row>
    <row r="497" ht="15.75" customHeight="1">
      <c r="G497" s="25"/>
      <c r="I497" s="22"/>
    </row>
    <row r="498" ht="15.75" customHeight="1">
      <c r="G498" s="25"/>
      <c r="I498" s="22"/>
    </row>
    <row r="499" ht="15.75" customHeight="1">
      <c r="G499" s="25"/>
      <c r="I499" s="22"/>
    </row>
    <row r="500" ht="15.75" customHeight="1">
      <c r="G500" s="25"/>
      <c r="I500" s="22"/>
    </row>
    <row r="501" ht="15.75" customHeight="1">
      <c r="G501" s="25"/>
      <c r="I501" s="22"/>
    </row>
    <row r="502" ht="15.75" customHeight="1">
      <c r="G502" s="25"/>
      <c r="I502" s="22"/>
    </row>
    <row r="503" ht="15.75" customHeight="1">
      <c r="G503" s="25"/>
      <c r="I503" s="22"/>
    </row>
    <row r="504" ht="15.75" customHeight="1">
      <c r="G504" s="25"/>
      <c r="I504" s="22"/>
    </row>
    <row r="505" ht="15.75" customHeight="1">
      <c r="G505" s="25"/>
      <c r="I505" s="22"/>
    </row>
    <row r="506" ht="15.75" customHeight="1">
      <c r="G506" s="25"/>
      <c r="I506" s="22"/>
    </row>
    <row r="507" ht="15.75" customHeight="1">
      <c r="G507" s="25"/>
      <c r="I507" s="22"/>
    </row>
    <row r="508" ht="15.75" customHeight="1">
      <c r="G508" s="25"/>
      <c r="I508" s="22"/>
    </row>
    <row r="509" ht="15.75" customHeight="1">
      <c r="G509" s="25"/>
      <c r="I509" s="22"/>
    </row>
    <row r="510" ht="15.75" customHeight="1">
      <c r="G510" s="25"/>
      <c r="I510" s="22"/>
    </row>
    <row r="511" ht="15.75" customHeight="1">
      <c r="G511" s="25"/>
      <c r="I511" s="22"/>
    </row>
    <row r="512" ht="15.75" customHeight="1">
      <c r="G512" s="25"/>
      <c r="I512" s="22"/>
    </row>
    <row r="513" ht="15.75" customHeight="1">
      <c r="G513" s="25"/>
      <c r="I513" s="22"/>
    </row>
    <row r="514" ht="15.75" customHeight="1">
      <c r="G514" s="25"/>
      <c r="I514" s="22"/>
    </row>
    <row r="515" ht="15.75" customHeight="1">
      <c r="G515" s="25"/>
      <c r="I515" s="22"/>
    </row>
    <row r="516" ht="15.75" customHeight="1">
      <c r="G516" s="25"/>
      <c r="I516" s="22"/>
    </row>
    <row r="517" ht="15.75" customHeight="1">
      <c r="G517" s="25"/>
      <c r="I517" s="22"/>
    </row>
    <row r="518" ht="15.75" customHeight="1">
      <c r="G518" s="25"/>
      <c r="I518" s="22"/>
    </row>
    <row r="519" ht="15.75" customHeight="1">
      <c r="G519" s="25"/>
      <c r="I519" s="22"/>
    </row>
    <row r="520" ht="15.75" customHeight="1">
      <c r="G520" s="25"/>
      <c r="I520" s="22"/>
    </row>
    <row r="521" ht="15.75" customHeight="1">
      <c r="G521" s="25"/>
      <c r="I521" s="22"/>
    </row>
    <row r="522" ht="15.75" customHeight="1">
      <c r="G522" s="25"/>
      <c r="I522" s="22"/>
    </row>
    <row r="523" ht="15.75" customHeight="1">
      <c r="G523" s="25"/>
      <c r="I523" s="22"/>
    </row>
    <row r="524" ht="15.75" customHeight="1">
      <c r="G524" s="25"/>
      <c r="I524" s="22"/>
    </row>
    <row r="525" ht="15.75" customHeight="1">
      <c r="G525" s="25"/>
      <c r="I525" s="22"/>
    </row>
    <row r="526" ht="15.75" customHeight="1">
      <c r="G526" s="25"/>
      <c r="I526" s="22"/>
    </row>
    <row r="527" ht="15.75" customHeight="1">
      <c r="G527" s="25"/>
      <c r="I527" s="22"/>
    </row>
    <row r="528" ht="15.75" customHeight="1">
      <c r="G528" s="25"/>
      <c r="I528" s="22"/>
    </row>
    <row r="529" ht="15.75" customHeight="1">
      <c r="G529" s="25"/>
      <c r="I529" s="22"/>
    </row>
    <row r="530" ht="15.75" customHeight="1">
      <c r="G530" s="25"/>
      <c r="I530" s="22"/>
    </row>
    <row r="531" ht="15.75" customHeight="1">
      <c r="G531" s="25"/>
      <c r="I531" s="22"/>
    </row>
    <row r="532" ht="15.75" customHeight="1">
      <c r="G532" s="25"/>
      <c r="I532" s="22"/>
    </row>
    <row r="533" ht="15.75" customHeight="1">
      <c r="G533" s="25"/>
      <c r="I533" s="22"/>
    </row>
    <row r="534" ht="15.75" customHeight="1">
      <c r="G534" s="25"/>
      <c r="I534" s="22"/>
    </row>
    <row r="535" ht="15.75" customHeight="1">
      <c r="G535" s="25"/>
      <c r="I535" s="22"/>
    </row>
    <row r="536" ht="15.75" customHeight="1">
      <c r="G536" s="25"/>
      <c r="I536" s="22"/>
    </row>
    <row r="537" ht="15.75" customHeight="1">
      <c r="G537" s="25"/>
      <c r="I537" s="22"/>
    </row>
    <row r="538" ht="15.75" customHeight="1">
      <c r="G538" s="25"/>
      <c r="I538" s="22"/>
    </row>
    <row r="539" ht="15.75" customHeight="1">
      <c r="G539" s="25"/>
      <c r="I539" s="22"/>
    </row>
    <row r="540" ht="15.75" customHeight="1">
      <c r="G540" s="25"/>
      <c r="I540" s="22"/>
    </row>
    <row r="541" ht="15.75" customHeight="1">
      <c r="G541" s="25"/>
      <c r="I541" s="22"/>
    </row>
    <row r="542" ht="15.75" customHeight="1">
      <c r="G542" s="25"/>
      <c r="I542" s="22"/>
    </row>
    <row r="543" ht="15.75" customHeight="1">
      <c r="G543" s="25"/>
      <c r="I543" s="22"/>
    </row>
    <row r="544" ht="15.75" customHeight="1">
      <c r="G544" s="25"/>
      <c r="I544" s="22"/>
    </row>
    <row r="545" ht="15.75" customHeight="1">
      <c r="G545" s="25"/>
      <c r="I545" s="22"/>
    </row>
    <row r="546" ht="15.75" customHeight="1">
      <c r="G546" s="25"/>
      <c r="I546" s="22"/>
    </row>
    <row r="547" ht="15.75" customHeight="1">
      <c r="G547" s="25"/>
      <c r="I547" s="22"/>
    </row>
    <row r="548" ht="15.75" customHeight="1">
      <c r="G548" s="25"/>
      <c r="I548" s="22"/>
    </row>
    <row r="549" ht="15.75" customHeight="1">
      <c r="G549" s="25"/>
      <c r="I549" s="22"/>
    </row>
    <row r="550" ht="15.75" customHeight="1">
      <c r="G550" s="25"/>
      <c r="I550" s="22"/>
    </row>
    <row r="551" ht="15.75" customHeight="1">
      <c r="G551" s="25"/>
      <c r="I551" s="22"/>
    </row>
    <row r="552" ht="15.75" customHeight="1">
      <c r="G552" s="25"/>
      <c r="I552" s="22"/>
    </row>
    <row r="553" ht="15.75" customHeight="1">
      <c r="G553" s="25"/>
      <c r="I553" s="22"/>
    </row>
    <row r="554" ht="15.75" customHeight="1">
      <c r="G554" s="25"/>
      <c r="I554" s="22"/>
    </row>
    <row r="555" ht="15.75" customHeight="1">
      <c r="G555" s="25"/>
      <c r="I555" s="22"/>
    </row>
    <row r="556" ht="15.75" customHeight="1">
      <c r="G556" s="25"/>
      <c r="I556" s="22"/>
    </row>
    <row r="557" ht="15.75" customHeight="1">
      <c r="G557" s="25"/>
      <c r="I557" s="22"/>
    </row>
    <row r="558" ht="15.75" customHeight="1">
      <c r="G558" s="25"/>
      <c r="I558" s="22"/>
    </row>
    <row r="559" ht="15.75" customHeight="1">
      <c r="G559" s="25"/>
      <c r="I559" s="22"/>
    </row>
    <row r="560" ht="15.75" customHeight="1">
      <c r="G560" s="25"/>
      <c r="I560" s="22"/>
    </row>
    <row r="561" ht="15.75" customHeight="1">
      <c r="G561" s="25"/>
      <c r="I561" s="22"/>
    </row>
    <row r="562" ht="15.75" customHeight="1">
      <c r="G562" s="25"/>
      <c r="I562" s="22"/>
    </row>
    <row r="563" ht="15.75" customHeight="1">
      <c r="G563" s="25"/>
      <c r="I563" s="22"/>
    </row>
    <row r="564" ht="15.75" customHeight="1">
      <c r="G564" s="25"/>
      <c r="I564" s="22"/>
    </row>
    <row r="565" ht="15.75" customHeight="1">
      <c r="G565" s="25"/>
      <c r="I565" s="22"/>
    </row>
    <row r="566" ht="15.75" customHeight="1">
      <c r="G566" s="25"/>
      <c r="I566" s="22"/>
    </row>
    <row r="567" ht="15.75" customHeight="1">
      <c r="G567" s="25"/>
      <c r="I567" s="22"/>
    </row>
    <row r="568" ht="15.75" customHeight="1">
      <c r="G568" s="25"/>
      <c r="I568" s="22"/>
    </row>
    <row r="569" ht="15.75" customHeight="1">
      <c r="G569" s="25"/>
      <c r="I569" s="22"/>
    </row>
    <row r="570" ht="15.75" customHeight="1">
      <c r="G570" s="25"/>
      <c r="I570" s="22"/>
    </row>
    <row r="571" ht="15.75" customHeight="1">
      <c r="G571" s="25"/>
      <c r="I571" s="22"/>
    </row>
    <row r="572" ht="15.75" customHeight="1">
      <c r="G572" s="25"/>
      <c r="I572" s="22"/>
    </row>
    <row r="573" ht="15.75" customHeight="1">
      <c r="G573" s="25"/>
      <c r="I573" s="22"/>
    </row>
    <row r="574" ht="15.75" customHeight="1">
      <c r="G574" s="25"/>
      <c r="I574" s="22"/>
    </row>
    <row r="575" ht="15.75" customHeight="1">
      <c r="G575" s="25"/>
      <c r="I575" s="22"/>
    </row>
    <row r="576" ht="15.75" customHeight="1">
      <c r="G576" s="25"/>
      <c r="I576" s="22"/>
    </row>
    <row r="577" ht="15.75" customHeight="1">
      <c r="G577" s="25"/>
      <c r="I577" s="22"/>
    </row>
    <row r="578" ht="15.75" customHeight="1">
      <c r="G578" s="25"/>
      <c r="I578" s="22"/>
    </row>
    <row r="579" ht="15.75" customHeight="1">
      <c r="G579" s="25"/>
      <c r="I579" s="22"/>
    </row>
    <row r="580" ht="15.75" customHeight="1">
      <c r="G580" s="25"/>
      <c r="I580" s="22"/>
    </row>
    <row r="581" ht="15.75" customHeight="1">
      <c r="G581" s="25"/>
      <c r="I581" s="22"/>
    </row>
    <row r="582" ht="15.75" customHeight="1">
      <c r="G582" s="25"/>
      <c r="I582" s="22"/>
    </row>
    <row r="583" ht="15.75" customHeight="1">
      <c r="G583" s="25"/>
      <c r="I583" s="22"/>
    </row>
    <row r="584" ht="15.75" customHeight="1">
      <c r="G584" s="25"/>
      <c r="I584" s="22"/>
    </row>
    <row r="585" ht="15.75" customHeight="1">
      <c r="G585" s="25"/>
      <c r="I585" s="22"/>
    </row>
    <row r="586" ht="15.75" customHeight="1">
      <c r="G586" s="25"/>
      <c r="I586" s="22"/>
    </row>
    <row r="587" ht="15.75" customHeight="1">
      <c r="G587" s="25"/>
      <c r="I587" s="22"/>
    </row>
    <row r="588" ht="15.75" customHeight="1">
      <c r="G588" s="25"/>
      <c r="I588" s="22"/>
    </row>
    <row r="589" ht="15.75" customHeight="1">
      <c r="G589" s="25"/>
      <c r="I589" s="22"/>
    </row>
    <row r="590" ht="15.75" customHeight="1">
      <c r="G590" s="25"/>
      <c r="I590" s="22"/>
    </row>
    <row r="591" ht="15.75" customHeight="1">
      <c r="G591" s="25"/>
      <c r="I591" s="22"/>
    </row>
    <row r="592" ht="15.75" customHeight="1">
      <c r="G592" s="25"/>
      <c r="I592" s="22"/>
    </row>
    <row r="593" ht="15.75" customHeight="1">
      <c r="G593" s="25"/>
      <c r="I593" s="22"/>
    </row>
    <row r="594" ht="15.75" customHeight="1">
      <c r="G594" s="25"/>
      <c r="I594" s="22"/>
    </row>
    <row r="595" ht="15.75" customHeight="1">
      <c r="G595" s="25"/>
      <c r="I595" s="22"/>
    </row>
    <row r="596" ht="15.75" customHeight="1">
      <c r="G596" s="25"/>
      <c r="I596" s="22"/>
    </row>
    <row r="597" ht="15.75" customHeight="1">
      <c r="G597" s="25"/>
      <c r="I597" s="22"/>
    </row>
    <row r="598" ht="15.75" customHeight="1">
      <c r="G598" s="25"/>
      <c r="I598" s="22"/>
    </row>
    <row r="599" ht="15.75" customHeight="1">
      <c r="G599" s="25"/>
      <c r="I599" s="22"/>
    </row>
    <row r="600" ht="15.75" customHeight="1">
      <c r="G600" s="25"/>
      <c r="I600" s="22"/>
    </row>
    <row r="601" ht="15.75" customHeight="1">
      <c r="G601" s="25"/>
      <c r="I601" s="22"/>
    </row>
    <row r="602" ht="15.75" customHeight="1">
      <c r="G602" s="25"/>
      <c r="I602" s="22"/>
    </row>
    <row r="603" ht="15.75" customHeight="1">
      <c r="G603" s="25"/>
      <c r="I603" s="22"/>
    </row>
    <row r="604" ht="15.75" customHeight="1">
      <c r="G604" s="25"/>
      <c r="I604" s="22"/>
    </row>
    <row r="605" ht="15.75" customHeight="1">
      <c r="G605" s="25"/>
      <c r="I605" s="22"/>
    </row>
    <row r="606" ht="15.75" customHeight="1">
      <c r="G606" s="25"/>
      <c r="I606" s="22"/>
    </row>
    <row r="607" ht="15.75" customHeight="1">
      <c r="G607" s="25"/>
      <c r="I607" s="22"/>
    </row>
    <row r="608" ht="15.75" customHeight="1">
      <c r="G608" s="25"/>
      <c r="I608" s="22"/>
    </row>
    <row r="609" ht="15.75" customHeight="1">
      <c r="G609" s="25"/>
      <c r="I609" s="22"/>
    </row>
    <row r="610" ht="15.75" customHeight="1">
      <c r="G610" s="25"/>
      <c r="I610" s="22"/>
    </row>
    <row r="611" ht="15.75" customHeight="1">
      <c r="G611" s="25"/>
      <c r="I611" s="22"/>
    </row>
    <row r="612" ht="15.75" customHeight="1">
      <c r="G612" s="25"/>
      <c r="I612" s="22"/>
    </row>
    <row r="613" ht="15.75" customHeight="1">
      <c r="G613" s="25"/>
      <c r="I613" s="22"/>
    </row>
    <row r="614" ht="15.75" customHeight="1">
      <c r="G614" s="25"/>
      <c r="I614" s="22"/>
    </row>
    <row r="615" ht="15.75" customHeight="1">
      <c r="G615" s="25"/>
      <c r="I615" s="22"/>
    </row>
    <row r="616" ht="15.75" customHeight="1">
      <c r="G616" s="25"/>
      <c r="I616" s="22"/>
    </row>
    <row r="617" ht="15.75" customHeight="1">
      <c r="G617" s="25"/>
      <c r="I617" s="22"/>
    </row>
    <row r="618" ht="15.75" customHeight="1">
      <c r="G618" s="25"/>
      <c r="I618" s="22"/>
    </row>
    <row r="619" ht="15.75" customHeight="1">
      <c r="G619" s="25"/>
      <c r="I619" s="22"/>
    </row>
    <row r="620" ht="15.75" customHeight="1">
      <c r="G620" s="25"/>
      <c r="I620" s="22"/>
    </row>
    <row r="621" ht="15.75" customHeight="1">
      <c r="G621" s="25"/>
      <c r="I621" s="22"/>
    </row>
    <row r="622" ht="15.75" customHeight="1">
      <c r="G622" s="25"/>
      <c r="I622" s="22"/>
    </row>
    <row r="623" ht="15.75" customHeight="1">
      <c r="G623" s="25"/>
      <c r="I623" s="22"/>
    </row>
    <row r="624" ht="15.75" customHeight="1">
      <c r="G624" s="25"/>
      <c r="I624" s="22"/>
    </row>
    <row r="625" ht="15.75" customHeight="1">
      <c r="G625" s="25"/>
      <c r="I625" s="22"/>
    </row>
    <row r="626" ht="15.75" customHeight="1">
      <c r="G626" s="25"/>
      <c r="I626" s="22"/>
    </row>
    <row r="627" ht="15.75" customHeight="1">
      <c r="G627" s="25"/>
      <c r="I627" s="22"/>
    </row>
    <row r="628" ht="15.75" customHeight="1">
      <c r="G628" s="25"/>
      <c r="I628" s="22"/>
    </row>
    <row r="629" ht="15.75" customHeight="1">
      <c r="G629" s="25"/>
      <c r="I629" s="22"/>
    </row>
    <row r="630" ht="15.75" customHeight="1">
      <c r="G630" s="25"/>
      <c r="I630" s="22"/>
    </row>
    <row r="631" ht="15.75" customHeight="1">
      <c r="G631" s="25"/>
      <c r="I631" s="22"/>
    </row>
    <row r="632" ht="15.75" customHeight="1">
      <c r="G632" s="25"/>
      <c r="I632" s="22"/>
    </row>
    <row r="633" ht="15.75" customHeight="1">
      <c r="G633" s="25"/>
      <c r="I633" s="22"/>
    </row>
    <row r="634" ht="15.75" customHeight="1">
      <c r="G634" s="25"/>
      <c r="I634" s="22"/>
    </row>
    <row r="635" ht="15.75" customHeight="1">
      <c r="G635" s="25"/>
      <c r="I635" s="22"/>
    </row>
    <row r="636" ht="15.75" customHeight="1">
      <c r="G636" s="25"/>
      <c r="I636" s="22"/>
    </row>
    <row r="637" ht="15.75" customHeight="1">
      <c r="G637" s="25"/>
      <c r="I637" s="22"/>
    </row>
    <row r="638" ht="15.75" customHeight="1">
      <c r="G638" s="25"/>
      <c r="I638" s="22"/>
    </row>
    <row r="639" ht="15.75" customHeight="1">
      <c r="G639" s="25"/>
      <c r="I639" s="22"/>
    </row>
    <row r="640" ht="15.75" customHeight="1">
      <c r="G640" s="25"/>
      <c r="I640" s="22"/>
    </row>
    <row r="641" ht="15.75" customHeight="1">
      <c r="G641" s="25"/>
      <c r="I641" s="22"/>
    </row>
    <row r="642" ht="15.75" customHeight="1">
      <c r="G642" s="25"/>
      <c r="I642" s="22"/>
    </row>
    <row r="643" ht="15.75" customHeight="1">
      <c r="G643" s="25"/>
      <c r="I643" s="22"/>
    </row>
    <row r="644" ht="15.75" customHeight="1">
      <c r="G644" s="25"/>
      <c r="I644" s="22"/>
    </row>
    <row r="645" ht="15.75" customHeight="1">
      <c r="G645" s="25"/>
      <c r="I645" s="22"/>
    </row>
    <row r="646" ht="15.75" customHeight="1">
      <c r="G646" s="25"/>
      <c r="I646" s="22"/>
    </row>
    <row r="647" ht="15.75" customHeight="1">
      <c r="G647" s="25"/>
      <c r="I647" s="22"/>
    </row>
    <row r="648" ht="15.75" customHeight="1">
      <c r="G648" s="25"/>
      <c r="I648" s="22"/>
    </row>
    <row r="649" ht="15.75" customHeight="1">
      <c r="G649" s="25"/>
      <c r="I649" s="22"/>
    </row>
    <row r="650" ht="15.75" customHeight="1">
      <c r="G650" s="25"/>
      <c r="I650" s="22"/>
    </row>
    <row r="651" ht="15.75" customHeight="1">
      <c r="G651" s="25"/>
      <c r="I651" s="22"/>
    </row>
    <row r="652" ht="15.75" customHeight="1">
      <c r="G652" s="25"/>
      <c r="I652" s="22"/>
    </row>
    <row r="653" ht="15.75" customHeight="1">
      <c r="G653" s="25"/>
      <c r="I653" s="22"/>
    </row>
    <row r="654" ht="15.75" customHeight="1">
      <c r="G654" s="25"/>
      <c r="I654" s="22"/>
    </row>
    <row r="655" ht="15.75" customHeight="1">
      <c r="G655" s="25"/>
      <c r="I655" s="22"/>
    </row>
    <row r="656" ht="15.75" customHeight="1">
      <c r="G656" s="25"/>
      <c r="I656" s="22"/>
    </row>
    <row r="657" ht="15.75" customHeight="1">
      <c r="G657" s="25"/>
      <c r="I657" s="22"/>
    </row>
    <row r="658" ht="15.75" customHeight="1">
      <c r="G658" s="25"/>
      <c r="I658" s="22"/>
    </row>
    <row r="659" ht="15.75" customHeight="1">
      <c r="G659" s="25"/>
      <c r="I659" s="22"/>
    </row>
    <row r="660" ht="15.75" customHeight="1">
      <c r="G660" s="25"/>
      <c r="I660" s="22"/>
    </row>
    <row r="661" ht="15.75" customHeight="1">
      <c r="G661" s="25"/>
      <c r="I661" s="22"/>
    </row>
    <row r="662" ht="15.75" customHeight="1">
      <c r="G662" s="25"/>
      <c r="I662" s="22"/>
    </row>
    <row r="663" ht="15.75" customHeight="1">
      <c r="G663" s="25"/>
      <c r="I663" s="22"/>
    </row>
    <row r="664" ht="15.75" customHeight="1">
      <c r="G664" s="25"/>
      <c r="I664" s="22"/>
    </row>
    <row r="665" ht="15.75" customHeight="1">
      <c r="G665" s="25"/>
      <c r="I665" s="22"/>
    </row>
    <row r="666" ht="15.75" customHeight="1">
      <c r="G666" s="25"/>
      <c r="I666" s="22"/>
    </row>
    <row r="667" ht="15.75" customHeight="1">
      <c r="G667" s="25"/>
      <c r="I667" s="22"/>
    </row>
    <row r="668" ht="15.75" customHeight="1">
      <c r="G668" s="25"/>
      <c r="I668" s="22"/>
    </row>
    <row r="669" ht="15.75" customHeight="1">
      <c r="G669" s="25"/>
      <c r="I669" s="22"/>
    </row>
    <row r="670" ht="15.75" customHeight="1">
      <c r="G670" s="25"/>
      <c r="I670" s="22"/>
    </row>
    <row r="671" ht="15.75" customHeight="1">
      <c r="G671" s="25"/>
      <c r="I671" s="22"/>
    </row>
    <row r="672" ht="15.75" customHeight="1">
      <c r="G672" s="25"/>
      <c r="I672" s="22"/>
    </row>
    <row r="673" ht="15.75" customHeight="1">
      <c r="G673" s="25"/>
      <c r="I673" s="22"/>
    </row>
    <row r="674" ht="15.75" customHeight="1">
      <c r="G674" s="25"/>
      <c r="I674" s="22"/>
    </row>
    <row r="675" ht="15.75" customHeight="1">
      <c r="G675" s="25"/>
      <c r="I675" s="22"/>
    </row>
    <row r="676" ht="15.75" customHeight="1">
      <c r="G676" s="25"/>
      <c r="I676" s="22"/>
    </row>
    <row r="677" ht="15.75" customHeight="1">
      <c r="G677" s="25"/>
      <c r="I677" s="22"/>
    </row>
    <row r="678" ht="15.75" customHeight="1">
      <c r="G678" s="25"/>
      <c r="I678" s="22"/>
    </row>
    <row r="679" ht="15.75" customHeight="1">
      <c r="G679" s="25"/>
      <c r="I679" s="22"/>
    </row>
    <row r="680" ht="15.75" customHeight="1">
      <c r="G680" s="25"/>
      <c r="I680" s="22"/>
    </row>
    <row r="681" ht="15.75" customHeight="1">
      <c r="G681" s="25"/>
      <c r="I681" s="22"/>
    </row>
    <row r="682" ht="15.75" customHeight="1">
      <c r="G682" s="25"/>
      <c r="I682" s="22"/>
    </row>
    <row r="683" ht="15.75" customHeight="1">
      <c r="G683" s="25"/>
      <c r="I683" s="22"/>
    </row>
    <row r="684" ht="15.75" customHeight="1">
      <c r="G684" s="25"/>
      <c r="I684" s="22"/>
    </row>
    <row r="685" ht="15.75" customHeight="1">
      <c r="G685" s="25"/>
      <c r="I685" s="22"/>
    </row>
    <row r="686" ht="15.75" customHeight="1">
      <c r="G686" s="25"/>
      <c r="I686" s="22"/>
    </row>
    <row r="687" ht="15.75" customHeight="1">
      <c r="G687" s="25"/>
      <c r="I687" s="22"/>
    </row>
    <row r="688" ht="15.75" customHeight="1">
      <c r="G688" s="25"/>
      <c r="I688" s="22"/>
    </row>
    <row r="689" ht="15.75" customHeight="1">
      <c r="G689" s="25"/>
      <c r="I689" s="22"/>
    </row>
    <row r="690" ht="15.75" customHeight="1">
      <c r="G690" s="25"/>
      <c r="I690" s="22"/>
    </row>
    <row r="691" ht="15.75" customHeight="1">
      <c r="G691" s="25"/>
      <c r="I691" s="22"/>
    </row>
    <row r="692" ht="15.75" customHeight="1">
      <c r="G692" s="25"/>
      <c r="I692" s="22"/>
    </row>
    <row r="693" ht="15.75" customHeight="1">
      <c r="G693" s="25"/>
      <c r="I693" s="22"/>
    </row>
    <row r="694" ht="15.75" customHeight="1">
      <c r="G694" s="25"/>
      <c r="I694" s="22"/>
    </row>
    <row r="695" ht="15.75" customHeight="1">
      <c r="G695" s="25"/>
      <c r="I695" s="22"/>
    </row>
    <row r="696" ht="15.75" customHeight="1">
      <c r="G696" s="25"/>
      <c r="I696" s="22"/>
    </row>
    <row r="697" ht="15.75" customHeight="1">
      <c r="G697" s="25"/>
      <c r="I697" s="22"/>
    </row>
    <row r="698" ht="15.75" customHeight="1">
      <c r="G698" s="25"/>
      <c r="I698" s="22"/>
    </row>
    <row r="699" ht="15.75" customHeight="1">
      <c r="G699" s="25"/>
      <c r="I699" s="22"/>
    </row>
    <row r="700" ht="15.75" customHeight="1">
      <c r="G700" s="25"/>
      <c r="I700" s="22"/>
    </row>
    <row r="701" ht="15.75" customHeight="1">
      <c r="G701" s="25"/>
      <c r="I701" s="22"/>
    </row>
    <row r="702" ht="15.75" customHeight="1">
      <c r="G702" s="25"/>
      <c r="I702" s="22"/>
    </row>
    <row r="703" ht="15.75" customHeight="1">
      <c r="G703" s="25"/>
      <c r="I703" s="22"/>
    </row>
    <row r="704" ht="15.75" customHeight="1">
      <c r="G704" s="25"/>
      <c r="I704" s="22"/>
    </row>
    <row r="705" ht="15.75" customHeight="1">
      <c r="G705" s="25"/>
      <c r="I705" s="22"/>
    </row>
    <row r="706" ht="15.75" customHeight="1">
      <c r="G706" s="25"/>
      <c r="I706" s="22"/>
    </row>
    <row r="707" ht="15.75" customHeight="1">
      <c r="G707" s="25"/>
      <c r="I707" s="22"/>
    </row>
    <row r="708" ht="15.75" customHeight="1">
      <c r="G708" s="25"/>
      <c r="I708" s="22"/>
    </row>
    <row r="709" ht="15.75" customHeight="1">
      <c r="G709" s="25"/>
      <c r="I709" s="22"/>
    </row>
    <row r="710" ht="15.75" customHeight="1">
      <c r="G710" s="25"/>
      <c r="I710" s="22"/>
    </row>
    <row r="711" ht="15.75" customHeight="1">
      <c r="G711" s="25"/>
      <c r="I711" s="22"/>
    </row>
    <row r="712" ht="15.75" customHeight="1">
      <c r="G712" s="25"/>
      <c r="I712" s="22"/>
    </row>
    <row r="713" ht="15.75" customHeight="1">
      <c r="G713" s="25"/>
      <c r="I713" s="22"/>
    </row>
    <row r="714" ht="15.75" customHeight="1">
      <c r="G714" s="25"/>
      <c r="I714" s="22"/>
    </row>
    <row r="715" ht="15.75" customHeight="1">
      <c r="G715" s="25"/>
      <c r="I715" s="22"/>
    </row>
    <row r="716" ht="15.75" customHeight="1">
      <c r="G716" s="25"/>
      <c r="I716" s="22"/>
    </row>
    <row r="717" ht="15.75" customHeight="1">
      <c r="G717" s="25"/>
      <c r="I717" s="22"/>
    </row>
    <row r="718" ht="15.75" customHeight="1">
      <c r="G718" s="25"/>
      <c r="I718" s="22"/>
    </row>
    <row r="719" ht="15.75" customHeight="1">
      <c r="G719" s="25"/>
      <c r="I719" s="22"/>
    </row>
    <row r="720" ht="15.75" customHeight="1">
      <c r="G720" s="25"/>
      <c r="I720" s="22"/>
    </row>
    <row r="721" ht="15.75" customHeight="1">
      <c r="G721" s="25"/>
      <c r="I721" s="22"/>
    </row>
    <row r="722" ht="15.75" customHeight="1">
      <c r="G722" s="25"/>
      <c r="I722" s="22"/>
    </row>
    <row r="723" ht="15.75" customHeight="1">
      <c r="G723" s="25"/>
      <c r="I723" s="22"/>
    </row>
    <row r="724" ht="15.75" customHeight="1">
      <c r="G724" s="25"/>
      <c r="I724" s="22"/>
    </row>
    <row r="725" ht="15.75" customHeight="1">
      <c r="G725" s="25"/>
      <c r="I725" s="22"/>
    </row>
    <row r="726" ht="15.75" customHeight="1">
      <c r="G726" s="25"/>
      <c r="I726" s="22"/>
    </row>
    <row r="727" ht="15.75" customHeight="1">
      <c r="G727" s="25"/>
      <c r="I727" s="22"/>
    </row>
    <row r="728" ht="15.75" customHeight="1">
      <c r="G728" s="25"/>
      <c r="I728" s="22"/>
    </row>
    <row r="729" ht="15.75" customHeight="1">
      <c r="G729" s="25"/>
      <c r="I729" s="22"/>
    </row>
    <row r="730" ht="15.75" customHeight="1">
      <c r="G730" s="25"/>
      <c r="I730" s="22"/>
    </row>
    <row r="731" ht="15.75" customHeight="1">
      <c r="G731" s="25"/>
      <c r="I731" s="22"/>
    </row>
    <row r="732" ht="15.75" customHeight="1">
      <c r="G732" s="25"/>
      <c r="I732" s="22"/>
    </row>
    <row r="733" ht="15.75" customHeight="1">
      <c r="G733" s="25"/>
      <c r="I733" s="22"/>
    </row>
    <row r="734" ht="15.75" customHeight="1">
      <c r="G734" s="25"/>
      <c r="I734" s="22"/>
    </row>
    <row r="735" ht="15.75" customHeight="1">
      <c r="G735" s="25"/>
      <c r="I735" s="22"/>
    </row>
    <row r="736" ht="15.75" customHeight="1">
      <c r="G736" s="25"/>
      <c r="I736" s="22"/>
    </row>
    <row r="737" ht="15.75" customHeight="1">
      <c r="G737" s="25"/>
      <c r="I737" s="22"/>
    </row>
    <row r="738" ht="15.75" customHeight="1">
      <c r="G738" s="25"/>
      <c r="I738" s="22"/>
    </row>
    <row r="739" ht="15.75" customHeight="1">
      <c r="G739" s="25"/>
      <c r="I739" s="22"/>
    </row>
    <row r="740" ht="15.75" customHeight="1">
      <c r="G740" s="25"/>
      <c r="I740" s="22"/>
    </row>
    <row r="741" ht="15.75" customHeight="1">
      <c r="G741" s="25"/>
      <c r="I741" s="22"/>
    </row>
    <row r="742" ht="15.75" customHeight="1">
      <c r="G742" s="25"/>
      <c r="I742" s="22"/>
    </row>
    <row r="743" ht="15.75" customHeight="1">
      <c r="G743" s="25"/>
      <c r="I743" s="22"/>
    </row>
    <row r="744" ht="15.75" customHeight="1">
      <c r="G744" s="25"/>
      <c r="I744" s="22"/>
    </row>
    <row r="745" ht="15.75" customHeight="1">
      <c r="G745" s="25"/>
      <c r="I745" s="22"/>
    </row>
    <row r="746" ht="15.75" customHeight="1">
      <c r="G746" s="25"/>
      <c r="I746" s="22"/>
    </row>
    <row r="747" ht="15.75" customHeight="1">
      <c r="G747" s="25"/>
      <c r="I747" s="22"/>
    </row>
    <row r="748" ht="15.75" customHeight="1">
      <c r="G748" s="25"/>
      <c r="I748" s="22"/>
    </row>
    <row r="749" ht="15.75" customHeight="1">
      <c r="G749" s="25"/>
      <c r="I749" s="22"/>
    </row>
    <row r="750" ht="15.75" customHeight="1">
      <c r="G750" s="25"/>
      <c r="I750" s="22"/>
    </row>
    <row r="751" ht="15.75" customHeight="1">
      <c r="G751" s="25"/>
      <c r="I751" s="22"/>
    </row>
    <row r="752" ht="15.75" customHeight="1">
      <c r="G752" s="25"/>
      <c r="I752" s="22"/>
    </row>
    <row r="753" ht="15.75" customHeight="1">
      <c r="G753" s="25"/>
      <c r="I753" s="22"/>
    </row>
    <row r="754" ht="15.75" customHeight="1">
      <c r="G754" s="25"/>
      <c r="I754" s="22"/>
    </row>
    <row r="755" ht="15.75" customHeight="1">
      <c r="G755" s="25"/>
      <c r="I755" s="22"/>
    </row>
    <row r="756" ht="15.75" customHeight="1">
      <c r="G756" s="25"/>
      <c r="I756" s="22"/>
    </row>
    <row r="757" ht="15.75" customHeight="1">
      <c r="G757" s="25"/>
      <c r="I757" s="22"/>
    </row>
    <row r="758" ht="15.75" customHeight="1">
      <c r="G758" s="25"/>
      <c r="I758" s="22"/>
    </row>
    <row r="759" ht="15.75" customHeight="1">
      <c r="G759" s="25"/>
      <c r="I759" s="22"/>
    </row>
    <row r="760" ht="15.75" customHeight="1">
      <c r="G760" s="25"/>
      <c r="I760" s="22"/>
    </row>
    <row r="761" ht="15.75" customHeight="1">
      <c r="G761" s="25"/>
      <c r="I761" s="22"/>
    </row>
    <row r="762" ht="15.75" customHeight="1">
      <c r="G762" s="25"/>
      <c r="I762" s="22"/>
    </row>
    <row r="763" ht="15.75" customHeight="1">
      <c r="G763" s="25"/>
      <c r="I763" s="22"/>
    </row>
    <row r="764" ht="15.75" customHeight="1">
      <c r="G764" s="25"/>
      <c r="I764" s="22"/>
    </row>
    <row r="765" ht="15.75" customHeight="1">
      <c r="G765" s="25"/>
      <c r="I765" s="22"/>
    </row>
    <row r="766" ht="15.75" customHeight="1">
      <c r="G766" s="25"/>
      <c r="I766" s="22"/>
    </row>
    <row r="767" ht="15.75" customHeight="1">
      <c r="G767" s="25"/>
      <c r="I767" s="22"/>
    </row>
    <row r="768" ht="15.75" customHeight="1">
      <c r="G768" s="25"/>
      <c r="I768" s="22"/>
    </row>
    <row r="769" ht="15.75" customHeight="1">
      <c r="G769" s="25"/>
      <c r="I769" s="22"/>
    </row>
    <row r="770" ht="15.75" customHeight="1">
      <c r="G770" s="25"/>
      <c r="I770" s="22"/>
    </row>
    <row r="771" ht="15.75" customHeight="1">
      <c r="G771" s="25"/>
      <c r="I771" s="22"/>
    </row>
    <row r="772" ht="15.75" customHeight="1">
      <c r="G772" s="25"/>
      <c r="I772" s="22"/>
    </row>
    <row r="773" ht="15.75" customHeight="1">
      <c r="G773" s="25"/>
      <c r="I773" s="22"/>
    </row>
    <row r="774" ht="15.75" customHeight="1">
      <c r="G774" s="25"/>
      <c r="I774" s="22"/>
    </row>
    <row r="775" ht="15.75" customHeight="1">
      <c r="G775" s="25"/>
      <c r="I775" s="22"/>
    </row>
    <row r="776" ht="15.75" customHeight="1">
      <c r="G776" s="25"/>
      <c r="I776" s="22"/>
    </row>
    <row r="777" ht="15.75" customHeight="1">
      <c r="G777" s="25"/>
      <c r="I777" s="22"/>
    </row>
    <row r="778" ht="15.75" customHeight="1">
      <c r="G778" s="25"/>
      <c r="I778" s="22"/>
    </row>
    <row r="779" ht="15.75" customHeight="1">
      <c r="G779" s="25"/>
      <c r="I779" s="22"/>
    </row>
    <row r="780" ht="15.75" customHeight="1">
      <c r="G780" s="25"/>
      <c r="I780" s="22"/>
    </row>
    <row r="781" ht="15.75" customHeight="1">
      <c r="G781" s="25"/>
      <c r="I781" s="22"/>
    </row>
    <row r="782" ht="15.75" customHeight="1">
      <c r="G782" s="25"/>
      <c r="I782" s="22"/>
    </row>
    <row r="783" ht="15.75" customHeight="1">
      <c r="G783" s="25"/>
      <c r="I783" s="22"/>
    </row>
    <row r="784" ht="15.75" customHeight="1">
      <c r="G784" s="25"/>
      <c r="I784" s="22"/>
    </row>
    <row r="785" ht="15.75" customHeight="1">
      <c r="G785" s="25"/>
      <c r="I785" s="22"/>
    </row>
    <row r="786" ht="15.75" customHeight="1">
      <c r="G786" s="25"/>
      <c r="I786" s="22"/>
    </row>
    <row r="787" ht="15.75" customHeight="1">
      <c r="G787" s="25"/>
      <c r="I787" s="22"/>
    </row>
    <row r="788" ht="15.75" customHeight="1">
      <c r="G788" s="25"/>
      <c r="I788" s="22"/>
    </row>
    <row r="789" ht="15.75" customHeight="1">
      <c r="G789" s="25"/>
      <c r="I789" s="22"/>
    </row>
    <row r="790" ht="15.75" customHeight="1">
      <c r="G790" s="25"/>
      <c r="I790" s="22"/>
    </row>
    <row r="791" ht="15.75" customHeight="1">
      <c r="G791" s="25"/>
      <c r="I791" s="22"/>
    </row>
    <row r="792" ht="15.75" customHeight="1">
      <c r="G792" s="25"/>
      <c r="I792" s="22"/>
    </row>
    <row r="793" ht="15.75" customHeight="1">
      <c r="G793" s="25"/>
      <c r="I793" s="22"/>
    </row>
    <row r="794" ht="15.75" customHeight="1">
      <c r="G794" s="25"/>
      <c r="I794" s="22"/>
    </row>
    <row r="795" ht="15.75" customHeight="1">
      <c r="G795" s="25"/>
      <c r="I795" s="22"/>
    </row>
    <row r="796" ht="15.75" customHeight="1">
      <c r="G796" s="25"/>
      <c r="I796" s="22"/>
    </row>
    <row r="797" ht="15.75" customHeight="1">
      <c r="G797" s="25"/>
      <c r="I797" s="22"/>
    </row>
    <row r="798" ht="15.75" customHeight="1">
      <c r="G798" s="25"/>
      <c r="I798" s="22"/>
    </row>
    <row r="799" ht="15.75" customHeight="1">
      <c r="G799" s="25"/>
      <c r="I799" s="22"/>
    </row>
    <row r="800" ht="15.75" customHeight="1">
      <c r="G800" s="25"/>
      <c r="I800" s="22"/>
    </row>
    <row r="801" ht="15.75" customHeight="1">
      <c r="G801" s="25"/>
      <c r="I801" s="22"/>
    </row>
    <row r="802" ht="15.75" customHeight="1">
      <c r="G802" s="25"/>
      <c r="I802" s="22"/>
    </row>
    <row r="803" ht="15.75" customHeight="1">
      <c r="G803" s="25"/>
      <c r="I803" s="22"/>
    </row>
    <row r="804" ht="15.75" customHeight="1">
      <c r="G804" s="25"/>
      <c r="I804" s="22"/>
    </row>
    <row r="805" ht="15.75" customHeight="1">
      <c r="G805" s="25"/>
      <c r="I805" s="22"/>
    </row>
    <row r="806" ht="15.75" customHeight="1">
      <c r="G806" s="25"/>
      <c r="I806" s="22"/>
    </row>
    <row r="807" ht="15.75" customHeight="1">
      <c r="G807" s="25"/>
      <c r="I807" s="22"/>
    </row>
    <row r="808" ht="15.75" customHeight="1">
      <c r="G808" s="25"/>
      <c r="I808" s="22"/>
    </row>
    <row r="809" ht="15.75" customHeight="1">
      <c r="G809" s="25"/>
      <c r="I809" s="22"/>
    </row>
    <row r="810" ht="15.75" customHeight="1">
      <c r="G810" s="25"/>
      <c r="I810" s="22"/>
    </row>
    <row r="811" ht="15.75" customHeight="1">
      <c r="G811" s="25"/>
      <c r="I811" s="22"/>
    </row>
    <row r="812" ht="15.75" customHeight="1">
      <c r="G812" s="25"/>
      <c r="I812" s="22"/>
    </row>
    <row r="813" ht="15.75" customHeight="1">
      <c r="G813" s="25"/>
      <c r="I813" s="22"/>
    </row>
    <row r="814" ht="15.75" customHeight="1">
      <c r="G814" s="25"/>
      <c r="I814" s="22"/>
    </row>
    <row r="815" ht="15.75" customHeight="1">
      <c r="G815" s="25"/>
      <c r="I815" s="22"/>
    </row>
    <row r="816" ht="15.75" customHeight="1">
      <c r="G816" s="25"/>
      <c r="I816" s="22"/>
    </row>
    <row r="817" ht="15.75" customHeight="1">
      <c r="G817" s="25"/>
      <c r="I817" s="22"/>
    </row>
    <row r="818" ht="15.75" customHeight="1">
      <c r="G818" s="25"/>
      <c r="I818" s="22"/>
    </row>
    <row r="819" ht="15.75" customHeight="1">
      <c r="G819" s="25"/>
      <c r="I819" s="22"/>
    </row>
    <row r="820" ht="15.75" customHeight="1">
      <c r="G820" s="25"/>
      <c r="I820" s="22"/>
    </row>
    <row r="821" ht="15.75" customHeight="1">
      <c r="G821" s="25"/>
      <c r="I821" s="22"/>
    </row>
    <row r="822" ht="15.75" customHeight="1">
      <c r="G822" s="25"/>
      <c r="I822" s="22"/>
    </row>
    <row r="823" ht="15.75" customHeight="1">
      <c r="G823" s="25"/>
      <c r="I823" s="22"/>
    </row>
    <row r="824" ht="15.75" customHeight="1">
      <c r="G824" s="25"/>
      <c r="I824" s="22"/>
    </row>
    <row r="825" ht="15.75" customHeight="1">
      <c r="G825" s="25"/>
      <c r="I825" s="22"/>
    </row>
    <row r="826" ht="15.75" customHeight="1">
      <c r="G826" s="25"/>
      <c r="I826" s="22"/>
    </row>
    <row r="827" ht="15.75" customHeight="1">
      <c r="G827" s="25"/>
      <c r="I827" s="22"/>
    </row>
    <row r="828" ht="15.75" customHeight="1">
      <c r="G828" s="25"/>
      <c r="I828" s="22"/>
    </row>
    <row r="829" ht="15.75" customHeight="1">
      <c r="G829" s="25"/>
      <c r="I829" s="22"/>
    </row>
    <row r="830" ht="15.75" customHeight="1">
      <c r="G830" s="25"/>
      <c r="I830" s="22"/>
    </row>
    <row r="831" ht="15.75" customHeight="1">
      <c r="G831" s="25"/>
      <c r="I831" s="22"/>
    </row>
    <row r="832" ht="15.75" customHeight="1">
      <c r="G832" s="25"/>
      <c r="I832" s="22"/>
    </row>
    <row r="833" ht="15.75" customHeight="1">
      <c r="G833" s="25"/>
      <c r="I833" s="22"/>
    </row>
    <row r="834" ht="15.75" customHeight="1">
      <c r="G834" s="25"/>
      <c r="I834" s="22"/>
    </row>
    <row r="835" ht="15.75" customHeight="1">
      <c r="G835" s="25"/>
      <c r="I835" s="22"/>
    </row>
    <row r="836" ht="15.75" customHeight="1">
      <c r="G836" s="25"/>
      <c r="I836" s="22"/>
    </row>
    <row r="837" ht="15.75" customHeight="1">
      <c r="G837" s="25"/>
      <c r="I837" s="22"/>
    </row>
    <row r="838" ht="15.75" customHeight="1">
      <c r="G838" s="25"/>
      <c r="I838" s="22"/>
    </row>
    <row r="839" ht="15.75" customHeight="1">
      <c r="G839" s="25"/>
      <c r="I839" s="22"/>
    </row>
    <row r="840" ht="15.75" customHeight="1">
      <c r="G840" s="25"/>
      <c r="I840" s="22"/>
    </row>
    <row r="841" ht="15.75" customHeight="1">
      <c r="G841" s="25"/>
      <c r="I841" s="22"/>
    </row>
    <row r="842" ht="15.75" customHeight="1">
      <c r="G842" s="25"/>
      <c r="I842" s="22"/>
    </row>
    <row r="843" ht="15.75" customHeight="1">
      <c r="G843" s="25"/>
      <c r="I843" s="22"/>
    </row>
    <row r="844" ht="15.75" customHeight="1">
      <c r="G844" s="25"/>
      <c r="I844" s="22"/>
    </row>
    <row r="845" ht="15.75" customHeight="1">
      <c r="G845" s="25"/>
      <c r="I845" s="22"/>
    </row>
    <row r="846" ht="15.75" customHeight="1">
      <c r="G846" s="25"/>
      <c r="I846" s="22"/>
    </row>
    <row r="847" ht="15.75" customHeight="1">
      <c r="G847" s="25"/>
      <c r="I847" s="22"/>
    </row>
    <row r="848" ht="15.75" customHeight="1">
      <c r="G848" s="25"/>
      <c r="I848" s="22"/>
    </row>
    <row r="849" ht="15.75" customHeight="1">
      <c r="G849" s="25"/>
      <c r="I849" s="22"/>
    </row>
    <row r="850" ht="15.75" customHeight="1">
      <c r="G850" s="25"/>
      <c r="I850" s="22"/>
    </row>
    <row r="851" ht="15.75" customHeight="1">
      <c r="G851" s="25"/>
      <c r="I851" s="22"/>
    </row>
    <row r="852" ht="15.75" customHeight="1">
      <c r="G852" s="25"/>
      <c r="I852" s="22"/>
    </row>
    <row r="853" ht="15.75" customHeight="1">
      <c r="G853" s="25"/>
      <c r="I853" s="22"/>
    </row>
    <row r="854" ht="15.75" customHeight="1">
      <c r="G854" s="25"/>
      <c r="I854" s="22"/>
    </row>
    <row r="855" ht="15.75" customHeight="1">
      <c r="G855" s="25"/>
      <c r="I855" s="22"/>
    </row>
    <row r="856" ht="15.75" customHeight="1">
      <c r="G856" s="25"/>
      <c r="I856" s="22"/>
    </row>
    <row r="857" ht="15.75" customHeight="1">
      <c r="G857" s="25"/>
      <c r="I857" s="22"/>
    </row>
    <row r="858" ht="15.75" customHeight="1">
      <c r="G858" s="25"/>
      <c r="I858" s="22"/>
    </row>
    <row r="859" ht="15.75" customHeight="1">
      <c r="G859" s="25"/>
      <c r="I859" s="22"/>
    </row>
    <row r="860" ht="15.75" customHeight="1">
      <c r="G860" s="25"/>
      <c r="I860" s="22"/>
    </row>
    <row r="861" ht="15.75" customHeight="1">
      <c r="G861" s="25"/>
      <c r="I861" s="22"/>
    </row>
    <row r="862" ht="15.75" customHeight="1">
      <c r="G862" s="25"/>
      <c r="I862" s="22"/>
    </row>
    <row r="863" ht="15.75" customHeight="1">
      <c r="G863" s="25"/>
      <c r="I863" s="22"/>
    </row>
    <row r="864" ht="15.75" customHeight="1">
      <c r="G864" s="25"/>
      <c r="I864" s="22"/>
    </row>
    <row r="865" ht="15.75" customHeight="1">
      <c r="G865" s="25"/>
      <c r="I865" s="22"/>
    </row>
    <row r="866" ht="15.75" customHeight="1">
      <c r="G866" s="25"/>
      <c r="I866" s="22"/>
    </row>
    <row r="867" ht="15.75" customHeight="1">
      <c r="G867" s="25"/>
      <c r="I867" s="22"/>
    </row>
    <row r="868" ht="15.75" customHeight="1">
      <c r="G868" s="25"/>
      <c r="I868" s="22"/>
    </row>
    <row r="869" ht="15.75" customHeight="1">
      <c r="G869" s="25"/>
      <c r="I869" s="22"/>
    </row>
    <row r="870" ht="15.75" customHeight="1">
      <c r="G870" s="25"/>
      <c r="I870" s="22"/>
    </row>
    <row r="871" ht="15.75" customHeight="1">
      <c r="G871" s="25"/>
      <c r="I871" s="22"/>
    </row>
    <row r="872" ht="15.75" customHeight="1">
      <c r="G872" s="25"/>
      <c r="I872" s="22"/>
    </row>
    <row r="873" ht="15.75" customHeight="1">
      <c r="G873" s="25"/>
      <c r="I873" s="22"/>
    </row>
    <row r="874" ht="15.75" customHeight="1">
      <c r="G874" s="25"/>
      <c r="I874" s="22"/>
    </row>
    <row r="875" ht="15.75" customHeight="1">
      <c r="G875" s="25"/>
      <c r="I875" s="22"/>
    </row>
    <row r="876" ht="15.75" customHeight="1">
      <c r="G876" s="25"/>
      <c r="I876" s="22"/>
    </row>
    <row r="877" ht="15.75" customHeight="1">
      <c r="G877" s="25"/>
      <c r="I877" s="22"/>
    </row>
    <row r="878" ht="15.75" customHeight="1">
      <c r="G878" s="25"/>
      <c r="I878" s="22"/>
    </row>
    <row r="879" ht="15.75" customHeight="1">
      <c r="G879" s="25"/>
      <c r="I879" s="22"/>
    </row>
    <row r="880" ht="15.75" customHeight="1">
      <c r="G880" s="25"/>
      <c r="I880" s="22"/>
    </row>
    <row r="881" ht="15.75" customHeight="1">
      <c r="G881" s="25"/>
      <c r="I881" s="22"/>
    </row>
    <row r="882" ht="15.75" customHeight="1">
      <c r="G882" s="25"/>
      <c r="I882" s="22"/>
    </row>
    <row r="883" ht="15.75" customHeight="1">
      <c r="G883" s="25"/>
      <c r="I883" s="22"/>
    </row>
    <row r="884" ht="15.75" customHeight="1">
      <c r="G884" s="25"/>
      <c r="I884" s="22"/>
    </row>
    <row r="885" ht="15.75" customHeight="1">
      <c r="G885" s="25"/>
      <c r="I885" s="22"/>
    </row>
    <row r="886" ht="15.75" customHeight="1">
      <c r="G886" s="25"/>
      <c r="I886" s="22"/>
    </row>
    <row r="887" ht="15.75" customHeight="1">
      <c r="G887" s="25"/>
      <c r="I887" s="22"/>
    </row>
    <row r="888" ht="15.75" customHeight="1">
      <c r="G888" s="25"/>
      <c r="I888" s="22"/>
    </row>
    <row r="889" ht="15.75" customHeight="1">
      <c r="G889" s="25"/>
      <c r="I889" s="22"/>
    </row>
    <row r="890" ht="15.75" customHeight="1">
      <c r="G890" s="25"/>
      <c r="I890" s="22"/>
    </row>
    <row r="891" ht="15.75" customHeight="1">
      <c r="G891" s="25"/>
      <c r="I891" s="22"/>
    </row>
    <row r="892" ht="15.75" customHeight="1">
      <c r="G892" s="25"/>
      <c r="I892" s="22"/>
    </row>
    <row r="893" ht="15.75" customHeight="1">
      <c r="G893" s="25"/>
      <c r="I893" s="22"/>
    </row>
    <row r="894" ht="15.75" customHeight="1">
      <c r="G894" s="25"/>
      <c r="I894" s="22"/>
    </row>
    <row r="895" ht="15.75" customHeight="1">
      <c r="G895" s="25"/>
      <c r="I895" s="22"/>
    </row>
    <row r="896" ht="15.75" customHeight="1">
      <c r="G896" s="25"/>
      <c r="I896" s="22"/>
    </row>
    <row r="897" ht="15.75" customHeight="1">
      <c r="G897" s="25"/>
      <c r="I897" s="22"/>
    </row>
    <row r="898" ht="15.75" customHeight="1">
      <c r="G898" s="25"/>
      <c r="I898" s="22"/>
    </row>
    <row r="899" ht="15.75" customHeight="1">
      <c r="G899" s="25"/>
      <c r="I899" s="22"/>
    </row>
    <row r="900" ht="15.75" customHeight="1">
      <c r="G900" s="25"/>
      <c r="I900" s="22"/>
    </row>
    <row r="901" ht="15.75" customHeight="1">
      <c r="G901" s="25"/>
      <c r="I901" s="22"/>
    </row>
    <row r="902" ht="15.75" customHeight="1">
      <c r="G902" s="25"/>
      <c r="I902" s="22"/>
    </row>
    <row r="903" ht="15.75" customHeight="1">
      <c r="G903" s="25"/>
      <c r="I903" s="22"/>
    </row>
    <row r="904" ht="15.75" customHeight="1">
      <c r="G904" s="25"/>
      <c r="I904" s="22"/>
    </row>
    <row r="905" ht="15.75" customHeight="1">
      <c r="G905" s="25"/>
      <c r="I905" s="22"/>
    </row>
    <row r="906" ht="15.75" customHeight="1">
      <c r="G906" s="25"/>
      <c r="I906" s="22"/>
    </row>
    <row r="907" ht="15.75" customHeight="1">
      <c r="G907" s="25"/>
      <c r="I907" s="22"/>
    </row>
    <row r="908" ht="15.75" customHeight="1">
      <c r="G908" s="25"/>
      <c r="I908" s="22"/>
    </row>
    <row r="909" ht="15.75" customHeight="1">
      <c r="G909" s="25"/>
      <c r="I909" s="22"/>
    </row>
    <row r="910" ht="15.75" customHeight="1">
      <c r="G910" s="25"/>
      <c r="I910" s="22"/>
    </row>
    <row r="911" ht="15.75" customHeight="1">
      <c r="G911" s="25"/>
      <c r="I911" s="22"/>
    </row>
    <row r="912" ht="15.75" customHeight="1">
      <c r="G912" s="25"/>
      <c r="I912" s="22"/>
    </row>
    <row r="913" ht="15.75" customHeight="1">
      <c r="G913" s="25"/>
      <c r="I913" s="22"/>
    </row>
    <row r="914" ht="15.75" customHeight="1">
      <c r="G914" s="25"/>
      <c r="I914" s="22"/>
    </row>
    <row r="915" ht="15.75" customHeight="1">
      <c r="G915" s="25"/>
      <c r="I915" s="22"/>
    </row>
    <row r="916" ht="15.75" customHeight="1">
      <c r="G916" s="25"/>
      <c r="I916" s="22"/>
    </row>
    <row r="917" ht="15.75" customHeight="1">
      <c r="G917" s="25"/>
      <c r="I917" s="22"/>
    </row>
    <row r="918" ht="15.75" customHeight="1">
      <c r="G918" s="25"/>
      <c r="I918" s="22"/>
    </row>
    <row r="919" ht="15.75" customHeight="1">
      <c r="G919" s="25"/>
      <c r="I919" s="22"/>
    </row>
    <row r="920" ht="15.75" customHeight="1">
      <c r="G920" s="25"/>
      <c r="I920" s="22"/>
    </row>
    <row r="921" ht="15.75" customHeight="1">
      <c r="G921" s="25"/>
      <c r="I921" s="22"/>
    </row>
    <row r="922" ht="15.75" customHeight="1">
      <c r="G922" s="25"/>
      <c r="I922" s="22"/>
    </row>
    <row r="923" ht="15.75" customHeight="1">
      <c r="G923" s="25"/>
      <c r="I923" s="22"/>
    </row>
    <row r="924" ht="15.75" customHeight="1">
      <c r="G924" s="25"/>
      <c r="I924" s="22"/>
    </row>
    <row r="925" ht="15.75" customHeight="1">
      <c r="G925" s="25"/>
      <c r="I925" s="22"/>
    </row>
    <row r="926" ht="15.75" customHeight="1">
      <c r="G926" s="25"/>
      <c r="I926" s="22"/>
    </row>
    <row r="927" ht="15.75" customHeight="1">
      <c r="G927" s="25"/>
      <c r="I927" s="22"/>
    </row>
    <row r="928" ht="15.75" customHeight="1">
      <c r="G928" s="25"/>
      <c r="I928" s="22"/>
    </row>
    <row r="929" ht="15.75" customHeight="1">
      <c r="G929" s="25"/>
      <c r="I929" s="22"/>
    </row>
    <row r="930" ht="15.75" customHeight="1">
      <c r="G930" s="25"/>
      <c r="I930" s="22"/>
    </row>
    <row r="931" ht="15.75" customHeight="1">
      <c r="G931" s="25"/>
      <c r="I931" s="22"/>
    </row>
    <row r="932" ht="15.75" customHeight="1">
      <c r="G932" s="25"/>
      <c r="I932" s="22"/>
    </row>
    <row r="933" ht="15.75" customHeight="1">
      <c r="G933" s="25"/>
      <c r="I933" s="22"/>
    </row>
    <row r="934" ht="15.75" customHeight="1">
      <c r="G934" s="25"/>
      <c r="I934" s="22"/>
    </row>
    <row r="935" ht="15.75" customHeight="1">
      <c r="G935" s="25"/>
      <c r="I935" s="22"/>
    </row>
    <row r="936" ht="15.75" customHeight="1">
      <c r="G936" s="25"/>
      <c r="I936" s="22"/>
    </row>
    <row r="937" ht="15.75" customHeight="1">
      <c r="G937" s="25"/>
      <c r="I937" s="22"/>
    </row>
    <row r="938" ht="15.75" customHeight="1">
      <c r="G938" s="25"/>
      <c r="I938" s="22"/>
    </row>
    <row r="939" ht="15.75" customHeight="1">
      <c r="G939" s="25"/>
      <c r="I939" s="22"/>
    </row>
    <row r="940" ht="15.75" customHeight="1">
      <c r="G940" s="25"/>
      <c r="I940" s="22"/>
    </row>
    <row r="941" ht="15.75" customHeight="1">
      <c r="G941" s="25"/>
      <c r="I941" s="22"/>
    </row>
    <row r="942" ht="15.75" customHeight="1">
      <c r="G942" s="25"/>
      <c r="I942" s="22"/>
    </row>
    <row r="943" ht="15.75" customHeight="1">
      <c r="G943" s="25"/>
      <c r="I943" s="22"/>
    </row>
    <row r="944" ht="15.75" customHeight="1">
      <c r="G944" s="25"/>
      <c r="I944" s="22"/>
    </row>
    <row r="945" ht="15.75" customHeight="1">
      <c r="G945" s="25"/>
      <c r="I945" s="22"/>
    </row>
    <row r="946" ht="15.75" customHeight="1">
      <c r="G946" s="25"/>
      <c r="I946" s="22"/>
    </row>
    <row r="947" ht="15.75" customHeight="1">
      <c r="G947" s="25"/>
      <c r="I947" s="22"/>
    </row>
    <row r="948" ht="15.75" customHeight="1">
      <c r="G948" s="25"/>
      <c r="I948" s="22"/>
    </row>
    <row r="949" ht="15.75" customHeight="1">
      <c r="G949" s="25"/>
      <c r="I949" s="22"/>
    </row>
    <row r="950" ht="15.75" customHeight="1">
      <c r="G950" s="25"/>
      <c r="I950" s="22"/>
    </row>
    <row r="951" ht="15.75" customHeight="1">
      <c r="G951" s="25"/>
      <c r="I951" s="22"/>
    </row>
    <row r="952" ht="15.75" customHeight="1">
      <c r="G952" s="25"/>
      <c r="I952" s="22"/>
    </row>
    <row r="953" ht="15.75" customHeight="1">
      <c r="G953" s="25"/>
      <c r="I953" s="22"/>
    </row>
    <row r="954" ht="15.75" customHeight="1">
      <c r="G954" s="25"/>
      <c r="I954" s="22"/>
    </row>
    <row r="955" ht="15.75" customHeight="1">
      <c r="G955" s="25"/>
      <c r="I955" s="22"/>
    </row>
    <row r="956" ht="15.75" customHeight="1">
      <c r="G956" s="25"/>
      <c r="I956" s="22"/>
    </row>
    <row r="957" ht="15.75" customHeight="1">
      <c r="G957" s="25"/>
      <c r="I957" s="22"/>
    </row>
    <row r="958" ht="15.75" customHeight="1">
      <c r="G958" s="25"/>
      <c r="I958" s="22"/>
    </row>
    <row r="959" ht="15.75" customHeight="1">
      <c r="G959" s="25"/>
      <c r="I959" s="22"/>
    </row>
    <row r="960" ht="15.75" customHeight="1">
      <c r="G960" s="25"/>
      <c r="I960" s="22"/>
    </row>
    <row r="961" ht="15.75" customHeight="1">
      <c r="G961" s="25"/>
      <c r="I961" s="22"/>
    </row>
    <row r="962" ht="15.75" customHeight="1">
      <c r="G962" s="25"/>
      <c r="I962" s="22"/>
    </row>
    <row r="963" ht="15.75" customHeight="1">
      <c r="G963" s="25"/>
      <c r="I963" s="22"/>
    </row>
    <row r="964" ht="15.75" customHeight="1">
      <c r="G964" s="25"/>
      <c r="I964" s="22"/>
    </row>
    <row r="965" ht="15.75" customHeight="1">
      <c r="G965" s="25"/>
      <c r="I965" s="22"/>
    </row>
    <row r="966" ht="15.75" customHeight="1">
      <c r="G966" s="25"/>
      <c r="I966" s="22"/>
    </row>
    <row r="967" ht="15.75" customHeight="1">
      <c r="G967" s="25"/>
      <c r="I967" s="22"/>
    </row>
    <row r="968" ht="15.75" customHeight="1">
      <c r="G968" s="25"/>
      <c r="I968" s="22"/>
    </row>
    <row r="969" ht="15.75" customHeight="1">
      <c r="G969" s="25"/>
      <c r="I969" s="22"/>
    </row>
    <row r="970" ht="15.75" customHeight="1">
      <c r="G970" s="25"/>
      <c r="I970" s="22"/>
    </row>
    <row r="971" ht="15.75" customHeight="1">
      <c r="G971" s="25"/>
      <c r="I971" s="22"/>
    </row>
    <row r="972" ht="15.75" customHeight="1">
      <c r="G972" s="25"/>
      <c r="I972" s="22"/>
    </row>
    <row r="973" ht="15.75" customHeight="1">
      <c r="G973" s="25"/>
      <c r="I973" s="22"/>
    </row>
    <row r="974" ht="15.75" customHeight="1">
      <c r="G974" s="25"/>
      <c r="I974" s="22"/>
    </row>
    <row r="975" ht="15.75" customHeight="1">
      <c r="G975" s="25"/>
      <c r="I975" s="22"/>
    </row>
    <row r="976" ht="15.75" customHeight="1">
      <c r="G976" s="25"/>
      <c r="I976" s="22"/>
    </row>
    <row r="977" ht="15.75" customHeight="1">
      <c r="G977" s="25"/>
      <c r="I977" s="22"/>
    </row>
    <row r="978" ht="15.75" customHeight="1">
      <c r="G978" s="25"/>
      <c r="I978" s="22"/>
    </row>
    <row r="979" ht="15.75" customHeight="1">
      <c r="G979" s="25"/>
      <c r="I979" s="22"/>
    </row>
    <row r="980" ht="15.75" customHeight="1">
      <c r="G980" s="25"/>
      <c r="I980" s="22"/>
    </row>
    <row r="981" ht="15.75" customHeight="1">
      <c r="G981" s="25"/>
      <c r="I981" s="22"/>
    </row>
    <row r="982" ht="15.75" customHeight="1">
      <c r="G982" s="25"/>
      <c r="I982" s="22"/>
    </row>
    <row r="983" ht="15.75" customHeight="1">
      <c r="G983" s="25"/>
      <c r="I983" s="22"/>
    </row>
    <row r="984" ht="15.75" customHeight="1">
      <c r="G984" s="25"/>
      <c r="I984" s="22"/>
    </row>
    <row r="985" ht="15.75" customHeight="1">
      <c r="G985" s="25"/>
      <c r="I985" s="22"/>
    </row>
    <row r="986" ht="15.75" customHeight="1">
      <c r="G986" s="25"/>
      <c r="I986" s="22"/>
    </row>
    <row r="987" ht="15.75" customHeight="1">
      <c r="G987" s="25"/>
      <c r="I987" s="22"/>
    </row>
    <row r="988" ht="15.75" customHeight="1">
      <c r="G988" s="25"/>
      <c r="I988" s="22"/>
    </row>
    <row r="989" ht="15.75" customHeight="1">
      <c r="G989" s="25"/>
      <c r="I989" s="22"/>
    </row>
    <row r="990" ht="15.75" customHeight="1">
      <c r="G990" s="25"/>
      <c r="I990" s="22"/>
    </row>
    <row r="991" ht="15.75" customHeight="1">
      <c r="G991" s="25"/>
      <c r="I991" s="22"/>
    </row>
    <row r="992" ht="15.75" customHeight="1">
      <c r="G992" s="25"/>
      <c r="I992" s="22"/>
    </row>
    <row r="993" ht="15.75" customHeight="1">
      <c r="G993" s="25"/>
      <c r="I993" s="22"/>
    </row>
    <row r="994" ht="15.75" customHeight="1">
      <c r="G994" s="25"/>
      <c r="I994" s="22"/>
    </row>
    <row r="995" ht="15.75" customHeight="1">
      <c r="G995" s="25"/>
      <c r="I995" s="22"/>
    </row>
    <row r="996" ht="15.75" customHeight="1">
      <c r="G996" s="25"/>
      <c r="I996" s="22"/>
    </row>
    <row r="997" ht="15.75" customHeight="1">
      <c r="G997" s="25"/>
      <c r="I997" s="22"/>
    </row>
    <row r="998" ht="15.75" customHeight="1">
      <c r="G998" s="25"/>
      <c r="I998" s="22"/>
    </row>
    <row r="999" ht="15.75" customHeight="1">
      <c r="G999" s="25"/>
      <c r="I999" s="22"/>
    </row>
    <row r="1000" ht="15.75" customHeight="1">
      <c r="G1000" s="25"/>
      <c r="I1000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3">
        <v>56.0</v>
      </c>
      <c r="B1" s="10" t="s">
        <v>76</v>
      </c>
      <c r="C1" s="10" t="s">
        <v>11</v>
      </c>
      <c r="D1" s="10" t="s">
        <v>11</v>
      </c>
      <c r="E1" s="3">
        <v>1.0</v>
      </c>
      <c r="F1" s="3">
        <v>2.0</v>
      </c>
      <c r="G1" s="7">
        <v>4.0</v>
      </c>
      <c r="H1" s="3">
        <v>1.0</v>
      </c>
      <c r="I1" s="11">
        <f t="shared" ref="I1:I160" si="1">sum(E1,F1)</f>
        <v>3</v>
      </c>
      <c r="J1" s="3">
        <v>30.0</v>
      </c>
    </row>
    <row r="2" ht="15.75" customHeight="1">
      <c r="A2" s="3">
        <v>7.0</v>
      </c>
      <c r="B2" s="10" t="s">
        <v>47</v>
      </c>
      <c r="C2" s="10" t="s">
        <v>13</v>
      </c>
      <c r="D2" s="10" t="s">
        <v>14</v>
      </c>
      <c r="E2" s="3">
        <v>3.0</v>
      </c>
      <c r="F2" s="3">
        <v>3.0</v>
      </c>
      <c r="G2" s="7">
        <v>3.0</v>
      </c>
      <c r="H2" s="3">
        <v>-1.0</v>
      </c>
      <c r="I2" s="11">
        <f t="shared" si="1"/>
        <v>6</v>
      </c>
      <c r="J2" s="3">
        <v>30.0</v>
      </c>
    </row>
    <row r="3" ht="15.75" customHeight="1">
      <c r="A3" s="3">
        <v>76.0</v>
      </c>
      <c r="B3" s="10" t="s">
        <v>60</v>
      </c>
      <c r="C3" s="10" t="s">
        <v>13</v>
      </c>
      <c r="D3" s="10" t="s">
        <v>14</v>
      </c>
      <c r="E3" s="3">
        <v>3.0</v>
      </c>
      <c r="F3" s="3">
        <v>3.0</v>
      </c>
      <c r="G3" s="7">
        <v>3.0</v>
      </c>
      <c r="H3" s="3">
        <v>1.0</v>
      </c>
      <c r="I3" s="11">
        <f t="shared" si="1"/>
        <v>6</v>
      </c>
      <c r="J3" s="3">
        <v>30.0</v>
      </c>
    </row>
    <row r="4" ht="15.75" customHeight="1">
      <c r="A4" s="3">
        <v>94.0</v>
      </c>
      <c r="B4" s="10" t="s">
        <v>94</v>
      </c>
      <c r="C4" s="10" t="s">
        <v>13</v>
      </c>
      <c r="D4" s="10" t="s">
        <v>14</v>
      </c>
      <c r="E4" s="3">
        <v>3.0</v>
      </c>
      <c r="F4" s="3">
        <v>3.0</v>
      </c>
      <c r="G4" s="7">
        <v>4.0</v>
      </c>
      <c r="H4" s="3">
        <v>1.0</v>
      </c>
      <c r="I4" s="11">
        <f t="shared" si="1"/>
        <v>6</v>
      </c>
      <c r="J4" s="3">
        <v>30.0</v>
      </c>
    </row>
    <row r="5" ht="15.75" customHeight="1">
      <c r="A5" s="3">
        <v>29.0</v>
      </c>
      <c r="B5" s="10" t="s">
        <v>75</v>
      </c>
      <c r="C5" s="10" t="s">
        <v>13</v>
      </c>
      <c r="D5" s="10" t="s">
        <v>11</v>
      </c>
      <c r="E5" s="3">
        <v>3.0</v>
      </c>
      <c r="F5" s="3">
        <v>3.0</v>
      </c>
      <c r="G5" s="7">
        <v>4.0</v>
      </c>
      <c r="H5" s="3">
        <v>1.0</v>
      </c>
      <c r="I5" s="11">
        <f t="shared" si="1"/>
        <v>6</v>
      </c>
      <c r="J5" s="3">
        <v>30.0</v>
      </c>
    </row>
    <row r="6" ht="15.75" customHeight="1">
      <c r="A6" s="3">
        <v>156.0</v>
      </c>
      <c r="B6" s="10" t="s">
        <v>73</v>
      </c>
      <c r="C6" s="10" t="s">
        <v>13</v>
      </c>
      <c r="D6" s="10" t="s">
        <v>14</v>
      </c>
      <c r="E6" s="3">
        <v>4.0</v>
      </c>
      <c r="F6" s="3">
        <v>4.0</v>
      </c>
      <c r="G6" s="7">
        <v>3.0</v>
      </c>
      <c r="H6" s="3">
        <v>1.0</v>
      </c>
      <c r="I6" s="11">
        <f t="shared" si="1"/>
        <v>8</v>
      </c>
      <c r="J6" s="3">
        <v>40.0</v>
      </c>
      <c r="K6" s="33">
        <v>1.0</v>
      </c>
      <c r="L6" s="33">
        <v>90.0</v>
      </c>
    </row>
    <row r="7" ht="15.75" customHeight="1">
      <c r="A7" s="3">
        <v>105.0</v>
      </c>
      <c r="B7" s="10" t="s">
        <v>126</v>
      </c>
      <c r="C7" s="10" t="s">
        <v>11</v>
      </c>
      <c r="D7" s="10" t="s">
        <v>14</v>
      </c>
      <c r="E7" s="3">
        <v>4.0</v>
      </c>
      <c r="F7" s="3">
        <v>4.0</v>
      </c>
      <c r="G7" s="7">
        <v>5.0</v>
      </c>
      <c r="H7" s="3">
        <v>-1.0</v>
      </c>
      <c r="I7" s="11">
        <f t="shared" si="1"/>
        <v>8</v>
      </c>
      <c r="J7" s="3">
        <v>40.0</v>
      </c>
      <c r="K7" s="33">
        <v>14.0</v>
      </c>
      <c r="L7" s="33">
        <v>45.0</v>
      </c>
    </row>
    <row r="8" ht="15.75" customHeight="1">
      <c r="A8" s="3">
        <v>10.0</v>
      </c>
      <c r="B8" s="15" t="s">
        <v>41</v>
      </c>
      <c r="C8" s="15" t="s">
        <v>11</v>
      </c>
      <c r="D8" s="15" t="s">
        <v>11</v>
      </c>
      <c r="E8" s="15">
        <v>4.0</v>
      </c>
      <c r="F8" s="15">
        <v>4.0</v>
      </c>
      <c r="G8" s="32">
        <v>3.0</v>
      </c>
      <c r="H8" s="15">
        <v>1.0</v>
      </c>
      <c r="I8" s="11">
        <f t="shared" si="1"/>
        <v>8</v>
      </c>
      <c r="J8" s="15">
        <v>50.0</v>
      </c>
      <c r="K8" s="33">
        <v>17.0</v>
      </c>
      <c r="L8" s="33">
        <v>90.0</v>
      </c>
    </row>
    <row r="9" ht="15.75" customHeight="1">
      <c r="A9" s="3">
        <v>52.0</v>
      </c>
      <c r="B9" s="10" t="s">
        <v>56</v>
      </c>
      <c r="C9" s="10" t="s">
        <v>13</v>
      </c>
      <c r="D9" s="10" t="s">
        <v>14</v>
      </c>
      <c r="E9" s="3">
        <v>4.0</v>
      </c>
      <c r="F9" s="3">
        <v>4.0</v>
      </c>
      <c r="G9" s="7">
        <v>3.0</v>
      </c>
      <c r="H9" s="3">
        <v>-1.0</v>
      </c>
      <c r="I9" s="11">
        <f t="shared" si="1"/>
        <v>8</v>
      </c>
      <c r="J9" s="3">
        <v>40.0</v>
      </c>
      <c r="K9" s="33">
        <v>20.0</v>
      </c>
      <c r="L9" s="33">
        <v>90.0</v>
      </c>
    </row>
    <row r="10" ht="15.75" customHeight="1">
      <c r="A10" s="3">
        <v>73.0</v>
      </c>
      <c r="B10" s="10" t="s">
        <v>35</v>
      </c>
      <c r="C10" s="10" t="s">
        <v>11</v>
      </c>
      <c r="D10" s="10" t="s">
        <v>14</v>
      </c>
      <c r="E10" s="3">
        <v>4.0</v>
      </c>
      <c r="F10" s="3">
        <v>4.0</v>
      </c>
      <c r="G10" s="7">
        <v>2.0</v>
      </c>
      <c r="H10" s="3">
        <v>1.0</v>
      </c>
      <c r="I10" s="11">
        <f t="shared" si="1"/>
        <v>8</v>
      </c>
      <c r="J10" s="3">
        <v>40.0</v>
      </c>
    </row>
    <row r="11" ht="15.75" customHeight="1">
      <c r="A11" s="3">
        <v>85.0</v>
      </c>
      <c r="B11" s="10" t="s">
        <v>152</v>
      </c>
      <c r="C11" s="10" t="s">
        <v>11</v>
      </c>
      <c r="D11" s="10" t="s">
        <v>14</v>
      </c>
      <c r="E11" s="3">
        <v>4.0</v>
      </c>
      <c r="F11" s="3">
        <v>4.0</v>
      </c>
      <c r="G11" s="7">
        <v>6.0</v>
      </c>
      <c r="H11" s="3">
        <v>1.0</v>
      </c>
      <c r="I11" s="11">
        <f t="shared" si="1"/>
        <v>8</v>
      </c>
      <c r="J11" s="3">
        <v>40.0</v>
      </c>
    </row>
    <row r="12" ht="15.75" customHeight="1">
      <c r="A12" s="3">
        <v>158.0</v>
      </c>
      <c r="B12" s="10" t="s">
        <v>161</v>
      </c>
      <c r="C12" s="10" t="s">
        <v>11</v>
      </c>
      <c r="D12" s="10" t="s">
        <v>14</v>
      </c>
      <c r="E12" s="3">
        <v>3.0</v>
      </c>
      <c r="F12" s="3">
        <v>5.0</v>
      </c>
      <c r="G12" s="7">
        <v>6.0</v>
      </c>
      <c r="H12" s="3">
        <v>-1.0</v>
      </c>
      <c r="I12" s="11">
        <f t="shared" si="1"/>
        <v>8</v>
      </c>
      <c r="J12" s="3">
        <v>40.0</v>
      </c>
    </row>
    <row r="13" ht="15.75" customHeight="1">
      <c r="A13" s="3">
        <v>126.0</v>
      </c>
      <c r="B13" s="10" t="s">
        <v>69</v>
      </c>
      <c r="C13" s="10" t="s">
        <v>13</v>
      </c>
      <c r="D13" s="10" t="s">
        <v>14</v>
      </c>
      <c r="E13" s="3">
        <v>4.0</v>
      </c>
      <c r="F13" s="3">
        <v>4.0</v>
      </c>
      <c r="G13" s="7">
        <v>3.0</v>
      </c>
      <c r="H13" s="3">
        <v>1.0</v>
      </c>
      <c r="I13" s="11">
        <f t="shared" si="1"/>
        <v>8</v>
      </c>
      <c r="J13" s="3">
        <v>50.0</v>
      </c>
    </row>
    <row r="14" ht="15.75" customHeight="1">
      <c r="A14" s="3">
        <v>128.0</v>
      </c>
      <c r="B14" s="10" t="s">
        <v>131</v>
      </c>
      <c r="C14" s="10" t="s">
        <v>13</v>
      </c>
      <c r="D14" s="10" t="s">
        <v>14</v>
      </c>
      <c r="E14" s="3">
        <v>4.0</v>
      </c>
      <c r="F14" s="3">
        <v>4.0</v>
      </c>
      <c r="G14" s="7">
        <v>5.0</v>
      </c>
      <c r="H14" s="3">
        <v>1.0</v>
      </c>
      <c r="I14" s="11">
        <f t="shared" si="1"/>
        <v>8</v>
      </c>
      <c r="J14" s="3">
        <v>40.0</v>
      </c>
    </row>
    <row r="15" ht="15.75" customHeight="1">
      <c r="A15" s="3">
        <v>132.0</v>
      </c>
      <c r="B15" s="10" t="s">
        <v>78</v>
      </c>
      <c r="C15" s="10" t="s">
        <v>13</v>
      </c>
      <c r="D15" s="10" t="s">
        <v>11</v>
      </c>
      <c r="E15" s="3">
        <v>4.0</v>
      </c>
      <c r="F15" s="3">
        <v>4.0</v>
      </c>
      <c r="G15" s="7">
        <v>4.0</v>
      </c>
      <c r="H15" s="3">
        <v>1.0</v>
      </c>
      <c r="I15" s="11">
        <f t="shared" si="1"/>
        <v>8</v>
      </c>
      <c r="J15" s="3">
        <v>50.0</v>
      </c>
    </row>
    <row r="16" ht="15.75" customHeight="1">
      <c r="A16" s="3">
        <v>135.0</v>
      </c>
      <c r="B16" s="10" t="s">
        <v>103</v>
      </c>
      <c r="C16" s="10" t="s">
        <v>13</v>
      </c>
      <c r="D16" s="10" t="s">
        <v>14</v>
      </c>
      <c r="E16" s="3">
        <v>5.0</v>
      </c>
      <c r="F16" s="3">
        <v>4.0</v>
      </c>
      <c r="G16" s="7">
        <v>4.0</v>
      </c>
      <c r="H16" s="3">
        <v>1.0</v>
      </c>
      <c r="I16" s="11">
        <f t="shared" si="1"/>
        <v>9</v>
      </c>
      <c r="J16" s="3">
        <v>40.0</v>
      </c>
      <c r="K16" s="33">
        <v>5.0</v>
      </c>
      <c r="L16" s="33">
        <v>75.0</v>
      </c>
    </row>
    <row r="17" ht="15.75" customHeight="1">
      <c r="A17" s="3">
        <v>50.0</v>
      </c>
      <c r="B17" s="10" t="s">
        <v>120</v>
      </c>
      <c r="C17" s="10" t="s">
        <v>11</v>
      </c>
      <c r="D17" s="10" t="s">
        <v>14</v>
      </c>
      <c r="E17" s="3">
        <v>5.0</v>
      </c>
      <c r="F17" s="3">
        <v>4.0</v>
      </c>
      <c r="G17" s="7">
        <v>5.0</v>
      </c>
      <c r="H17" s="3">
        <v>-1.0</v>
      </c>
      <c r="I17" s="11">
        <f t="shared" si="1"/>
        <v>9</v>
      </c>
      <c r="J17" s="3">
        <v>40.0</v>
      </c>
      <c r="K17" s="33">
        <v>18.0</v>
      </c>
      <c r="L17" s="33">
        <v>70.0</v>
      </c>
    </row>
    <row r="18" ht="15.75" customHeight="1">
      <c r="A18" s="3">
        <v>92.0</v>
      </c>
      <c r="B18" s="10" t="s">
        <v>154</v>
      </c>
      <c r="C18" s="10" t="s">
        <v>11</v>
      </c>
      <c r="D18" s="10" t="s">
        <v>14</v>
      </c>
      <c r="E18" s="3">
        <v>4.0</v>
      </c>
      <c r="F18" s="3">
        <v>5.0</v>
      </c>
      <c r="G18" s="7">
        <v>6.0</v>
      </c>
      <c r="H18" s="3">
        <v>1.0</v>
      </c>
      <c r="I18" s="11">
        <f t="shared" si="1"/>
        <v>9</v>
      </c>
      <c r="J18" s="3">
        <v>40.0</v>
      </c>
    </row>
    <row r="19" ht="15.75" customHeight="1">
      <c r="A19" s="3">
        <v>9.0</v>
      </c>
      <c r="B19" s="10" t="s">
        <v>25</v>
      </c>
      <c r="C19" s="10" t="s">
        <v>13</v>
      </c>
      <c r="D19" s="10" t="s">
        <v>14</v>
      </c>
      <c r="E19" s="3">
        <v>4.0</v>
      </c>
      <c r="F19" s="3">
        <v>5.0</v>
      </c>
      <c r="G19" s="7">
        <v>2.0</v>
      </c>
      <c r="H19" s="3">
        <v>-1.0</v>
      </c>
      <c r="I19" s="11">
        <f t="shared" si="1"/>
        <v>9</v>
      </c>
      <c r="J19" s="3">
        <v>50.0</v>
      </c>
    </row>
    <row r="20" ht="15.75" customHeight="1">
      <c r="A20" s="3">
        <v>112.0</v>
      </c>
      <c r="B20" s="10" t="s">
        <v>100</v>
      </c>
      <c r="C20" s="10" t="s">
        <v>13</v>
      </c>
      <c r="D20" s="10" t="s">
        <v>14</v>
      </c>
      <c r="E20" s="3">
        <v>5.0</v>
      </c>
      <c r="F20" s="3">
        <v>4.0</v>
      </c>
      <c r="G20" s="7">
        <v>4.0</v>
      </c>
      <c r="H20" s="3">
        <v>1.0</v>
      </c>
      <c r="I20" s="11">
        <f t="shared" si="1"/>
        <v>9</v>
      </c>
      <c r="J20" s="3">
        <v>50.0</v>
      </c>
    </row>
    <row r="21" ht="15.75" customHeight="1">
      <c r="A21" s="3">
        <v>123.0</v>
      </c>
      <c r="B21" s="10" t="s">
        <v>68</v>
      </c>
      <c r="C21" s="10" t="s">
        <v>13</v>
      </c>
      <c r="D21" s="10" t="s">
        <v>14</v>
      </c>
      <c r="E21" s="3">
        <v>4.0</v>
      </c>
      <c r="F21" s="3">
        <v>5.0</v>
      </c>
      <c r="G21" s="7">
        <v>3.0</v>
      </c>
      <c r="H21" s="3">
        <v>1.0</v>
      </c>
      <c r="I21" s="11">
        <f t="shared" si="1"/>
        <v>9</v>
      </c>
      <c r="J21" s="3">
        <v>50.0</v>
      </c>
    </row>
    <row r="22" ht="15.75" customHeight="1">
      <c r="A22" s="3">
        <v>137.0</v>
      </c>
      <c r="B22" s="10" t="s">
        <v>71</v>
      </c>
      <c r="C22" s="10" t="s">
        <v>13</v>
      </c>
      <c r="D22" s="10" t="s">
        <v>14</v>
      </c>
      <c r="E22" s="3">
        <v>6.0</v>
      </c>
      <c r="F22" s="3">
        <v>3.0</v>
      </c>
      <c r="G22" s="7">
        <v>3.0</v>
      </c>
      <c r="H22" s="3">
        <v>-1.0</v>
      </c>
      <c r="I22" s="11">
        <f t="shared" si="1"/>
        <v>9</v>
      </c>
      <c r="J22" s="3">
        <v>60.0</v>
      </c>
    </row>
    <row r="23" ht="15.75" customHeight="1">
      <c r="A23" s="3">
        <v>139.0</v>
      </c>
      <c r="B23" s="10" t="s">
        <v>135</v>
      </c>
      <c r="C23" s="10" t="s">
        <v>13</v>
      </c>
      <c r="D23" s="10" t="s">
        <v>14</v>
      </c>
      <c r="E23" s="3">
        <v>5.0</v>
      </c>
      <c r="F23" s="3">
        <v>4.0</v>
      </c>
      <c r="G23" s="7">
        <v>5.0</v>
      </c>
      <c r="H23" s="3">
        <v>-1.0</v>
      </c>
      <c r="I23" s="11">
        <f t="shared" si="1"/>
        <v>9</v>
      </c>
      <c r="J23" s="3">
        <v>50.0</v>
      </c>
    </row>
    <row r="24" ht="15.75" customHeight="1">
      <c r="A24" s="3">
        <v>103.0</v>
      </c>
      <c r="B24" s="10" t="s">
        <v>111</v>
      </c>
      <c r="C24" s="10" t="s">
        <v>11</v>
      </c>
      <c r="D24" s="10" t="s">
        <v>11</v>
      </c>
      <c r="E24" s="3">
        <v>4.0</v>
      </c>
      <c r="F24" s="3">
        <v>5.0</v>
      </c>
      <c r="G24" s="7">
        <v>5.0</v>
      </c>
      <c r="H24" s="3">
        <v>-1.0</v>
      </c>
      <c r="I24" s="11">
        <f t="shared" si="1"/>
        <v>9</v>
      </c>
      <c r="J24" s="3">
        <v>50.0</v>
      </c>
    </row>
    <row r="25" ht="15.75" customHeight="1">
      <c r="A25" s="3">
        <v>134.0</v>
      </c>
      <c r="B25" s="10" t="s">
        <v>24</v>
      </c>
      <c r="C25" s="10" t="s">
        <v>11</v>
      </c>
      <c r="D25" s="10" t="s">
        <v>11</v>
      </c>
      <c r="E25" s="3">
        <v>4.0</v>
      </c>
      <c r="F25" s="3">
        <v>5.0</v>
      </c>
      <c r="G25" s="7">
        <v>2.0</v>
      </c>
      <c r="H25" s="3">
        <v>-1.0</v>
      </c>
      <c r="I25" s="11">
        <f t="shared" si="1"/>
        <v>9</v>
      </c>
      <c r="J25" s="3">
        <v>50.0</v>
      </c>
    </row>
    <row r="26" ht="15.75" customHeight="1">
      <c r="A26" s="3">
        <v>98.0</v>
      </c>
      <c r="B26" s="10" t="s">
        <v>156</v>
      </c>
      <c r="C26" s="10" t="s">
        <v>11</v>
      </c>
      <c r="D26" s="10" t="s">
        <v>14</v>
      </c>
      <c r="E26" s="3">
        <v>6.0</v>
      </c>
      <c r="F26" s="3">
        <v>4.0</v>
      </c>
      <c r="G26" s="7">
        <v>6.0</v>
      </c>
      <c r="H26" s="3">
        <v>1.0</v>
      </c>
      <c r="I26" s="11">
        <f t="shared" si="1"/>
        <v>10</v>
      </c>
      <c r="J26" s="3">
        <v>60.0</v>
      </c>
      <c r="K26" s="33">
        <v>1.0</v>
      </c>
      <c r="L26" s="33">
        <v>80.0</v>
      </c>
    </row>
    <row r="27" ht="15.75" customHeight="1">
      <c r="A27" s="3">
        <v>19.0</v>
      </c>
      <c r="B27" s="10" t="s">
        <v>17</v>
      </c>
      <c r="C27" s="10" t="s">
        <v>13</v>
      </c>
      <c r="D27" s="10" t="s">
        <v>14</v>
      </c>
      <c r="E27" s="3">
        <v>5.0</v>
      </c>
      <c r="F27" s="3">
        <v>5.0</v>
      </c>
      <c r="G27" s="7">
        <v>1.0</v>
      </c>
      <c r="H27" s="3">
        <v>1.0</v>
      </c>
      <c r="I27" s="11">
        <f t="shared" si="1"/>
        <v>10</v>
      </c>
      <c r="J27" s="3">
        <v>60.0</v>
      </c>
      <c r="K27" s="33">
        <v>1.0</v>
      </c>
      <c r="L27" s="33">
        <v>130.0</v>
      </c>
    </row>
    <row r="28" ht="15.75" customHeight="1">
      <c r="A28" s="3">
        <v>77.0</v>
      </c>
      <c r="B28" s="10" t="s">
        <v>23</v>
      </c>
      <c r="C28" s="10" t="s">
        <v>13</v>
      </c>
      <c r="D28" s="10" t="s">
        <v>11</v>
      </c>
      <c r="E28" s="3">
        <v>5.0</v>
      </c>
      <c r="F28" s="3">
        <v>5.0</v>
      </c>
      <c r="G28" s="7">
        <v>2.0</v>
      </c>
      <c r="H28" s="3">
        <v>1.0</v>
      </c>
      <c r="I28" s="11">
        <f t="shared" si="1"/>
        <v>10</v>
      </c>
      <c r="J28" s="3">
        <v>60.0</v>
      </c>
      <c r="K28" s="33">
        <v>2.0</v>
      </c>
      <c r="L28" s="33">
        <v>100.0</v>
      </c>
    </row>
    <row r="29" ht="15.75" customHeight="1">
      <c r="A29" s="3">
        <v>65.0</v>
      </c>
      <c r="B29" s="10" t="s">
        <v>58</v>
      </c>
      <c r="C29" s="10" t="s">
        <v>11</v>
      </c>
      <c r="D29" s="10" t="s">
        <v>14</v>
      </c>
      <c r="E29" s="3">
        <v>5.0</v>
      </c>
      <c r="F29" s="3">
        <v>5.0</v>
      </c>
      <c r="G29" s="7">
        <v>3.0</v>
      </c>
      <c r="H29" s="3">
        <v>-1.0</v>
      </c>
      <c r="I29" s="11">
        <f t="shared" si="1"/>
        <v>10</v>
      </c>
      <c r="J29" s="3">
        <v>60.0</v>
      </c>
      <c r="K29" s="33">
        <v>5.0</v>
      </c>
      <c r="L29" s="33">
        <v>90.0</v>
      </c>
    </row>
    <row r="30" ht="15.75" customHeight="1">
      <c r="A30" s="3">
        <v>118.0</v>
      </c>
      <c r="B30" s="10" t="s">
        <v>129</v>
      </c>
      <c r="C30" s="10" t="s">
        <v>11</v>
      </c>
      <c r="D30" s="10" t="s">
        <v>14</v>
      </c>
      <c r="E30" s="3">
        <v>5.0</v>
      </c>
      <c r="F30" s="3">
        <v>5.0</v>
      </c>
      <c r="G30" s="7">
        <v>5.0</v>
      </c>
      <c r="H30" s="3">
        <v>1.0</v>
      </c>
      <c r="I30" s="11">
        <f t="shared" si="1"/>
        <v>10</v>
      </c>
      <c r="J30" s="3">
        <v>60.0</v>
      </c>
      <c r="K30" s="33">
        <v>12.0</v>
      </c>
      <c r="L30" s="33">
        <v>60.0</v>
      </c>
    </row>
    <row r="31" ht="15.75" customHeight="1">
      <c r="A31" s="3">
        <v>104.0</v>
      </c>
      <c r="B31" s="10" t="s">
        <v>62</v>
      </c>
      <c r="C31" s="10" t="s">
        <v>13</v>
      </c>
      <c r="D31" s="10" t="s">
        <v>14</v>
      </c>
      <c r="E31" s="3">
        <v>5.0</v>
      </c>
      <c r="F31" s="3">
        <v>5.0</v>
      </c>
      <c r="G31" s="7">
        <v>3.0</v>
      </c>
      <c r="H31" s="3">
        <v>-1.0</v>
      </c>
      <c r="I31" s="11">
        <f t="shared" si="1"/>
        <v>10</v>
      </c>
      <c r="J31" s="3">
        <v>60.0</v>
      </c>
      <c r="K31" s="33">
        <v>14.0</v>
      </c>
      <c r="L31" s="33">
        <v>105.0</v>
      </c>
    </row>
    <row r="32" ht="15.75" customHeight="1">
      <c r="A32" s="3">
        <v>27.0</v>
      </c>
      <c r="B32" s="10" t="s">
        <v>82</v>
      </c>
      <c r="C32" s="10" t="s">
        <v>13</v>
      </c>
      <c r="D32" s="10" t="s">
        <v>14</v>
      </c>
      <c r="E32" s="3">
        <v>5.0</v>
      </c>
      <c r="F32" s="3">
        <v>5.0</v>
      </c>
      <c r="G32" s="7">
        <v>4.0</v>
      </c>
      <c r="H32" s="3">
        <v>1.0</v>
      </c>
      <c r="I32" s="11">
        <f t="shared" si="1"/>
        <v>10</v>
      </c>
      <c r="J32" s="3">
        <v>50.0</v>
      </c>
      <c r="K32" s="33">
        <v>15.0</v>
      </c>
      <c r="L32" s="33">
        <v>90.0</v>
      </c>
    </row>
    <row r="33" ht="15.75" customHeight="1">
      <c r="A33" s="3">
        <v>89.0</v>
      </c>
      <c r="B33" s="10" t="s">
        <v>37</v>
      </c>
      <c r="C33" s="10" t="s">
        <v>13</v>
      </c>
      <c r="D33" s="10" t="s">
        <v>14</v>
      </c>
      <c r="E33" s="3">
        <v>5.0</v>
      </c>
      <c r="F33" s="3">
        <v>5.0</v>
      </c>
      <c r="G33" s="7">
        <v>2.0</v>
      </c>
      <c r="H33" s="3">
        <v>1.0</v>
      </c>
      <c r="I33" s="11">
        <f t="shared" si="1"/>
        <v>10</v>
      </c>
      <c r="J33" s="3">
        <v>60.0</v>
      </c>
      <c r="K33" s="33" t="s">
        <v>179</v>
      </c>
    </row>
    <row r="34" ht="15.75" customHeight="1">
      <c r="A34" s="3">
        <v>21.0</v>
      </c>
      <c r="B34" s="10" t="s">
        <v>81</v>
      </c>
      <c r="C34" s="10" t="s">
        <v>11</v>
      </c>
      <c r="D34" s="10" t="s">
        <v>14</v>
      </c>
      <c r="E34" s="3">
        <v>5.0</v>
      </c>
      <c r="F34" s="3">
        <v>5.0</v>
      </c>
      <c r="G34" s="7">
        <v>4.0</v>
      </c>
      <c r="H34" s="3">
        <v>1.0</v>
      </c>
      <c r="I34" s="11">
        <f t="shared" si="1"/>
        <v>10</v>
      </c>
      <c r="J34" s="3">
        <v>60.0</v>
      </c>
    </row>
    <row r="35" ht="15.75" customHeight="1">
      <c r="A35" s="3">
        <v>107.0</v>
      </c>
      <c r="B35" s="10" t="s">
        <v>127</v>
      </c>
      <c r="C35" s="10" t="s">
        <v>11</v>
      </c>
      <c r="D35" s="10" t="s">
        <v>14</v>
      </c>
      <c r="E35" s="3">
        <v>6.0</v>
      </c>
      <c r="F35" s="3">
        <v>4.0</v>
      </c>
      <c r="G35" s="7">
        <v>5.0</v>
      </c>
      <c r="H35" s="3">
        <v>-1.0</v>
      </c>
      <c r="I35" s="11">
        <f t="shared" si="1"/>
        <v>10</v>
      </c>
      <c r="J35" s="3">
        <v>50.0</v>
      </c>
    </row>
    <row r="36" ht="15.75" customHeight="1">
      <c r="A36" s="3">
        <v>115.0</v>
      </c>
      <c r="B36" s="10" t="s">
        <v>128</v>
      </c>
      <c r="C36" s="10" t="s">
        <v>11</v>
      </c>
      <c r="D36" s="10" t="s">
        <v>14</v>
      </c>
      <c r="E36" s="3">
        <v>5.0</v>
      </c>
      <c r="F36" s="3">
        <v>5.0</v>
      </c>
      <c r="G36" s="7">
        <v>5.0</v>
      </c>
      <c r="H36" s="3">
        <v>1.0</v>
      </c>
      <c r="I36" s="11">
        <f t="shared" si="1"/>
        <v>10</v>
      </c>
      <c r="J36" s="3">
        <v>50.0</v>
      </c>
    </row>
    <row r="37" ht="15.75" customHeight="1">
      <c r="A37" s="3">
        <v>147.0</v>
      </c>
      <c r="B37" s="10" t="s">
        <v>160</v>
      </c>
      <c r="C37" s="10" t="s">
        <v>11</v>
      </c>
      <c r="D37" s="10" t="s">
        <v>14</v>
      </c>
      <c r="E37" s="3">
        <v>4.0</v>
      </c>
      <c r="F37" s="3">
        <v>6.0</v>
      </c>
      <c r="G37" s="7">
        <v>6.0</v>
      </c>
      <c r="H37" s="3">
        <v>-1.0</v>
      </c>
      <c r="I37" s="11">
        <f t="shared" si="1"/>
        <v>10</v>
      </c>
      <c r="J37" s="3">
        <v>60.0</v>
      </c>
    </row>
    <row r="38" ht="15.75" customHeight="1">
      <c r="A38" s="3">
        <v>148.0</v>
      </c>
      <c r="B38" s="10" t="s">
        <v>104</v>
      </c>
      <c r="C38" s="10" t="s">
        <v>11</v>
      </c>
      <c r="D38" s="10" t="s">
        <v>14</v>
      </c>
      <c r="E38" s="3">
        <v>5.0</v>
      </c>
      <c r="F38" s="3">
        <v>5.0</v>
      </c>
      <c r="G38" s="7">
        <v>4.0</v>
      </c>
      <c r="H38" s="3">
        <v>1.0</v>
      </c>
      <c r="I38" s="11">
        <f t="shared" si="1"/>
        <v>10</v>
      </c>
      <c r="J38" s="3">
        <v>60.0</v>
      </c>
    </row>
    <row r="39" ht="15.75" customHeight="1">
      <c r="A39" s="3">
        <v>3.0</v>
      </c>
      <c r="B39" s="10" t="s">
        <v>46</v>
      </c>
      <c r="C39" s="10" t="s">
        <v>13</v>
      </c>
      <c r="D39" s="10" t="s">
        <v>14</v>
      </c>
      <c r="E39" s="3">
        <v>5.0</v>
      </c>
      <c r="F39" s="3">
        <v>5.0</v>
      </c>
      <c r="G39" s="7">
        <v>3.0</v>
      </c>
      <c r="H39" s="3">
        <v>1.0</v>
      </c>
      <c r="I39" s="11">
        <f t="shared" si="1"/>
        <v>10</v>
      </c>
      <c r="J39" s="3">
        <v>50.0</v>
      </c>
      <c r="L39" s="33" t="s">
        <v>177</v>
      </c>
    </row>
    <row r="40" ht="15.75" customHeight="1">
      <c r="A40" s="3">
        <v>14.0</v>
      </c>
      <c r="B40" s="10" t="s">
        <v>114</v>
      </c>
      <c r="C40" s="10" t="s">
        <v>13</v>
      </c>
      <c r="D40" s="10" t="s">
        <v>14</v>
      </c>
      <c r="E40" s="3">
        <v>5.0</v>
      </c>
      <c r="F40" s="3">
        <v>5.0</v>
      </c>
      <c r="G40" s="7">
        <v>5.0</v>
      </c>
      <c r="H40" s="3">
        <v>-1.0</v>
      </c>
      <c r="I40" s="11">
        <f t="shared" si="1"/>
        <v>10</v>
      </c>
      <c r="J40" s="3">
        <v>50.0</v>
      </c>
    </row>
    <row r="41" ht="15.75" customHeight="1">
      <c r="A41" s="3">
        <v>25.0</v>
      </c>
      <c r="B41" s="10" t="s">
        <v>28</v>
      </c>
      <c r="C41" s="10" t="s">
        <v>13</v>
      </c>
      <c r="D41" s="10" t="s">
        <v>14</v>
      </c>
      <c r="E41" s="3">
        <v>5.0</v>
      </c>
      <c r="F41" s="3">
        <v>5.0</v>
      </c>
      <c r="G41" s="7">
        <v>2.0</v>
      </c>
      <c r="H41" s="3">
        <v>1.0</v>
      </c>
      <c r="I41" s="11">
        <f t="shared" si="1"/>
        <v>10</v>
      </c>
      <c r="J41" s="3">
        <v>60.0</v>
      </c>
    </row>
    <row r="42" ht="15.75" customHeight="1">
      <c r="A42" s="3">
        <v>97.0</v>
      </c>
      <c r="B42" s="10" t="s">
        <v>95</v>
      </c>
      <c r="C42" s="10" t="s">
        <v>13</v>
      </c>
      <c r="D42" s="10" t="s">
        <v>14</v>
      </c>
      <c r="E42" s="3">
        <v>5.0</v>
      </c>
      <c r="F42" s="3">
        <v>5.0</v>
      </c>
      <c r="G42" s="7">
        <v>4.0</v>
      </c>
      <c r="H42" s="3">
        <v>-1.0</v>
      </c>
      <c r="I42" s="11">
        <f t="shared" si="1"/>
        <v>10</v>
      </c>
      <c r="J42" s="3">
        <v>60.0</v>
      </c>
    </row>
    <row r="43" ht="15.75" customHeight="1">
      <c r="A43" s="3">
        <v>111.0</v>
      </c>
      <c r="B43" s="10" t="s">
        <v>99</v>
      </c>
      <c r="C43" s="10" t="s">
        <v>13</v>
      </c>
      <c r="D43" s="10" t="s">
        <v>14</v>
      </c>
      <c r="E43" s="3">
        <v>5.0</v>
      </c>
      <c r="F43" s="3">
        <v>5.0</v>
      </c>
      <c r="G43" s="7">
        <v>4.0</v>
      </c>
      <c r="H43" s="3">
        <v>-1.0</v>
      </c>
      <c r="I43" s="11">
        <f t="shared" si="1"/>
        <v>10</v>
      </c>
      <c r="J43" s="3">
        <v>60.0</v>
      </c>
    </row>
    <row r="44" ht="15.75" customHeight="1">
      <c r="A44" s="3">
        <v>157.0</v>
      </c>
      <c r="B44" s="10" t="s">
        <v>74</v>
      </c>
      <c r="C44" s="10" t="s">
        <v>13</v>
      </c>
      <c r="D44" s="10" t="s">
        <v>14</v>
      </c>
      <c r="E44" s="3">
        <v>5.0</v>
      </c>
      <c r="F44" s="3">
        <v>5.0</v>
      </c>
      <c r="G44" s="7">
        <v>3.0</v>
      </c>
      <c r="H44" s="3">
        <v>1.0</v>
      </c>
      <c r="I44" s="11">
        <f t="shared" si="1"/>
        <v>10</v>
      </c>
      <c r="J44" s="3">
        <v>50.0</v>
      </c>
    </row>
    <row r="45" ht="15.75" customHeight="1">
      <c r="A45" s="3">
        <v>23.0</v>
      </c>
      <c r="B45" s="10" t="s">
        <v>22</v>
      </c>
      <c r="C45" s="10" t="s">
        <v>11</v>
      </c>
      <c r="D45" s="10" t="s">
        <v>11</v>
      </c>
      <c r="E45" s="3">
        <v>5.0</v>
      </c>
      <c r="F45" s="3">
        <v>5.0</v>
      </c>
      <c r="G45" s="7">
        <v>2.0</v>
      </c>
      <c r="H45" s="3">
        <v>-1.0</v>
      </c>
      <c r="I45" s="11">
        <f t="shared" si="1"/>
        <v>10</v>
      </c>
      <c r="J45" s="3">
        <v>60.0</v>
      </c>
    </row>
    <row r="46" ht="15.75" customHeight="1">
      <c r="A46" s="3">
        <v>58.0</v>
      </c>
      <c r="B46" s="10" t="s">
        <v>107</v>
      </c>
      <c r="C46" s="10" t="s">
        <v>13</v>
      </c>
      <c r="D46" s="10" t="s">
        <v>11</v>
      </c>
      <c r="E46" s="3">
        <v>6.0</v>
      </c>
      <c r="F46" s="3">
        <v>4.0</v>
      </c>
      <c r="G46" s="7">
        <v>5.0</v>
      </c>
      <c r="H46" s="3">
        <v>-1.0</v>
      </c>
      <c r="I46" s="11">
        <f t="shared" si="1"/>
        <v>10</v>
      </c>
      <c r="J46" s="3">
        <v>60.0</v>
      </c>
    </row>
    <row r="47" ht="15.75" customHeight="1">
      <c r="A47" s="3">
        <v>6.0</v>
      </c>
      <c r="B47" s="10" t="s">
        <v>143</v>
      </c>
      <c r="C47" s="10" t="s">
        <v>11</v>
      </c>
      <c r="D47" s="10" t="s">
        <v>14</v>
      </c>
      <c r="E47" s="3">
        <v>5.0</v>
      </c>
      <c r="F47" s="3">
        <v>6.0</v>
      </c>
      <c r="G47" s="7">
        <v>6.0</v>
      </c>
      <c r="H47" s="3">
        <v>1.0</v>
      </c>
      <c r="I47" s="11">
        <f t="shared" si="1"/>
        <v>11</v>
      </c>
      <c r="J47" s="3">
        <v>60.0</v>
      </c>
      <c r="K47" s="33">
        <v>1.0</v>
      </c>
      <c r="L47" s="33">
        <v>90.0</v>
      </c>
    </row>
    <row r="48" ht="15.75" customHeight="1">
      <c r="A48" s="3">
        <v>26.0</v>
      </c>
      <c r="B48" s="10" t="s">
        <v>49</v>
      </c>
      <c r="C48" s="10" t="s">
        <v>13</v>
      </c>
      <c r="D48" s="10" t="s">
        <v>14</v>
      </c>
      <c r="E48" s="3">
        <v>5.0</v>
      </c>
      <c r="F48" s="3">
        <v>6.0</v>
      </c>
      <c r="G48" s="7">
        <v>3.0</v>
      </c>
      <c r="H48" s="3">
        <v>-1.0</v>
      </c>
      <c r="I48" s="11">
        <f t="shared" si="1"/>
        <v>11</v>
      </c>
      <c r="J48" s="3">
        <v>60.0</v>
      </c>
      <c r="K48" s="33">
        <v>9.0</v>
      </c>
      <c r="L48" s="33">
        <v>100.0</v>
      </c>
      <c r="M48" s="34">
        <f>L48/I48</f>
        <v>9.090909091</v>
      </c>
    </row>
    <row r="49" ht="15.75" customHeight="1">
      <c r="A49" s="3">
        <v>116.0</v>
      </c>
      <c r="B49" s="10" t="s">
        <v>66</v>
      </c>
      <c r="C49" s="10" t="s">
        <v>11</v>
      </c>
      <c r="D49" s="10" t="s">
        <v>14</v>
      </c>
      <c r="E49" s="3">
        <v>6.0</v>
      </c>
      <c r="F49" s="3">
        <v>5.0</v>
      </c>
      <c r="G49" s="7">
        <v>3.0</v>
      </c>
      <c r="H49" s="3">
        <v>-1.0</v>
      </c>
      <c r="I49" s="11">
        <f t="shared" si="1"/>
        <v>11</v>
      </c>
      <c r="J49" s="3">
        <v>60.0</v>
      </c>
      <c r="K49" s="33">
        <v>12.0</v>
      </c>
      <c r="L49" s="33">
        <v>105.0</v>
      </c>
    </row>
    <row r="50" ht="15.75" customHeight="1">
      <c r="A50" s="3">
        <v>17.0</v>
      </c>
      <c r="B50" s="10" t="s">
        <v>106</v>
      </c>
      <c r="C50" s="10" t="s">
        <v>13</v>
      </c>
      <c r="D50" s="10" t="s">
        <v>11</v>
      </c>
      <c r="E50" s="3">
        <v>5.0</v>
      </c>
      <c r="F50" s="3">
        <v>6.0</v>
      </c>
      <c r="G50" s="7">
        <v>5.0</v>
      </c>
      <c r="H50" s="3">
        <v>-1.0</v>
      </c>
      <c r="I50" s="11">
        <f t="shared" si="1"/>
        <v>11</v>
      </c>
      <c r="J50" s="3">
        <v>60.0</v>
      </c>
      <c r="K50" s="33">
        <v>12.0</v>
      </c>
      <c r="L50" s="33">
        <v>120.0</v>
      </c>
    </row>
    <row r="51" ht="15.75" customHeight="1">
      <c r="A51" s="3">
        <v>13.0</v>
      </c>
      <c r="B51" s="10" t="s">
        <v>48</v>
      </c>
      <c r="C51" s="10" t="s">
        <v>13</v>
      </c>
      <c r="D51" s="10" t="s">
        <v>14</v>
      </c>
      <c r="E51" s="3">
        <v>5.0</v>
      </c>
      <c r="F51" s="3">
        <v>6.0</v>
      </c>
      <c r="G51" s="7">
        <v>3.0</v>
      </c>
      <c r="H51" s="3">
        <v>-1.0</v>
      </c>
      <c r="I51" s="11">
        <f t="shared" si="1"/>
        <v>11</v>
      </c>
      <c r="J51" s="3">
        <v>60.0</v>
      </c>
      <c r="K51" s="33">
        <v>18.0</v>
      </c>
      <c r="L51" s="33">
        <v>105.0</v>
      </c>
    </row>
    <row r="52" ht="15.75" customHeight="1">
      <c r="A52" s="3">
        <v>93.0</v>
      </c>
      <c r="B52" s="10" t="s">
        <v>19</v>
      </c>
      <c r="C52" s="10" t="s">
        <v>13</v>
      </c>
      <c r="D52" s="10" t="s">
        <v>14</v>
      </c>
      <c r="E52" s="3">
        <v>6.0</v>
      </c>
      <c r="F52" s="3">
        <v>5.0</v>
      </c>
      <c r="G52" s="7">
        <v>1.0</v>
      </c>
      <c r="H52" s="3">
        <v>-1.0</v>
      </c>
      <c r="I52" s="11">
        <f t="shared" si="1"/>
        <v>11</v>
      </c>
      <c r="J52" s="3">
        <v>60.0</v>
      </c>
      <c r="K52" s="33" t="s">
        <v>182</v>
      </c>
      <c r="L52" s="33">
        <v>130.0</v>
      </c>
    </row>
    <row r="53" ht="15.75" customHeight="1">
      <c r="A53" s="3">
        <v>79.0</v>
      </c>
      <c r="B53" s="10" t="s">
        <v>124</v>
      </c>
      <c r="C53" s="10" t="s">
        <v>11</v>
      </c>
      <c r="D53" s="10" t="s">
        <v>14</v>
      </c>
      <c r="E53" s="3">
        <v>5.0</v>
      </c>
      <c r="F53" s="3">
        <v>6.0</v>
      </c>
      <c r="G53" s="7">
        <v>5.0</v>
      </c>
      <c r="H53" s="3">
        <v>1.0</v>
      </c>
      <c r="I53" s="11">
        <f t="shared" si="1"/>
        <v>11</v>
      </c>
      <c r="J53" s="3">
        <v>60.0</v>
      </c>
    </row>
    <row r="54" ht="15.75" customHeight="1">
      <c r="A54" s="3">
        <v>129.0</v>
      </c>
      <c r="B54" s="10" t="s">
        <v>132</v>
      </c>
      <c r="C54" s="10" t="s">
        <v>11</v>
      </c>
      <c r="D54" s="10" t="s">
        <v>14</v>
      </c>
      <c r="E54" s="3">
        <v>6.0</v>
      </c>
      <c r="F54" s="3">
        <v>5.0</v>
      </c>
      <c r="G54" s="7">
        <v>5.0</v>
      </c>
      <c r="H54" s="3">
        <v>-1.0</v>
      </c>
      <c r="I54" s="11">
        <f t="shared" si="1"/>
        <v>11</v>
      </c>
      <c r="J54" s="3">
        <v>60.0</v>
      </c>
    </row>
    <row r="55" ht="15.75" customHeight="1">
      <c r="A55" s="3">
        <v>131.0</v>
      </c>
      <c r="B55" s="10" t="s">
        <v>171</v>
      </c>
      <c r="C55" s="10" t="s">
        <v>11</v>
      </c>
      <c r="D55" s="10" t="s">
        <v>14</v>
      </c>
      <c r="E55" s="3">
        <v>7.0</v>
      </c>
      <c r="F55" s="3">
        <v>4.0</v>
      </c>
      <c r="G55" s="7">
        <v>8.0</v>
      </c>
      <c r="H55" s="3">
        <v>1.0</v>
      </c>
      <c r="I55" s="11">
        <f t="shared" si="1"/>
        <v>11</v>
      </c>
      <c r="J55" s="3">
        <v>60.0</v>
      </c>
    </row>
    <row r="56" ht="15.75" customHeight="1">
      <c r="A56" s="3">
        <v>144.0</v>
      </c>
      <c r="B56" s="10" t="s">
        <v>158</v>
      </c>
      <c r="C56" s="10" t="s">
        <v>11</v>
      </c>
      <c r="D56" s="10" t="s">
        <v>14</v>
      </c>
      <c r="E56" s="3">
        <v>6.0</v>
      </c>
      <c r="F56" s="3">
        <v>5.0</v>
      </c>
      <c r="G56" s="7">
        <v>6.0</v>
      </c>
      <c r="H56" s="3">
        <v>1.0</v>
      </c>
      <c r="I56" s="11">
        <f t="shared" si="1"/>
        <v>11</v>
      </c>
      <c r="J56" s="3">
        <v>60.0</v>
      </c>
    </row>
    <row r="57" ht="15.75" customHeight="1">
      <c r="A57" s="3">
        <v>145.0</v>
      </c>
      <c r="B57" s="10" t="s">
        <v>159</v>
      </c>
      <c r="C57" s="10" t="s">
        <v>11</v>
      </c>
      <c r="D57" s="10" t="s">
        <v>14</v>
      </c>
      <c r="E57" s="3">
        <v>6.0</v>
      </c>
      <c r="F57" s="3">
        <v>5.0</v>
      </c>
      <c r="G57" s="7">
        <v>6.0</v>
      </c>
      <c r="H57" s="3">
        <v>1.0</v>
      </c>
      <c r="I57" s="11">
        <f t="shared" si="1"/>
        <v>11</v>
      </c>
      <c r="J57" s="3">
        <v>60.0</v>
      </c>
    </row>
    <row r="58" ht="15.75" customHeight="1">
      <c r="A58" s="3">
        <v>5.0</v>
      </c>
      <c r="B58" s="10" t="s">
        <v>79</v>
      </c>
      <c r="C58" s="10" t="s">
        <v>13</v>
      </c>
      <c r="D58" s="10" t="s">
        <v>14</v>
      </c>
      <c r="E58" s="3">
        <v>6.0</v>
      </c>
      <c r="F58" s="3">
        <v>5.0</v>
      </c>
      <c r="G58" s="7">
        <v>4.0</v>
      </c>
      <c r="H58" s="3">
        <v>-1.0</v>
      </c>
      <c r="I58" s="11">
        <f t="shared" si="1"/>
        <v>11</v>
      </c>
      <c r="J58" s="3">
        <v>60.0</v>
      </c>
    </row>
    <row r="59" ht="15.75" customHeight="1">
      <c r="A59" s="3">
        <v>32.0</v>
      </c>
      <c r="B59" s="10" t="s">
        <v>83</v>
      </c>
      <c r="C59" s="10" t="s">
        <v>13</v>
      </c>
      <c r="D59" s="10" t="s">
        <v>14</v>
      </c>
      <c r="E59" s="3">
        <v>5.0</v>
      </c>
      <c r="F59" s="3">
        <v>6.0</v>
      </c>
      <c r="G59" s="7">
        <v>4.0</v>
      </c>
      <c r="H59" s="3">
        <v>-1.0</v>
      </c>
      <c r="I59" s="11">
        <f t="shared" si="1"/>
        <v>11</v>
      </c>
      <c r="J59" s="3">
        <v>60.0</v>
      </c>
    </row>
    <row r="60" ht="15.75" customHeight="1">
      <c r="A60" s="3">
        <v>40.0</v>
      </c>
      <c r="B60" s="10" t="s">
        <v>53</v>
      </c>
      <c r="C60" s="10" t="s">
        <v>13</v>
      </c>
      <c r="D60" s="10" t="s">
        <v>14</v>
      </c>
      <c r="E60" s="3">
        <v>6.0</v>
      </c>
      <c r="F60" s="3">
        <v>5.0</v>
      </c>
      <c r="G60" s="7">
        <v>3.0</v>
      </c>
      <c r="H60" s="3">
        <v>-1.0</v>
      </c>
      <c r="I60" s="11">
        <f t="shared" si="1"/>
        <v>11</v>
      </c>
      <c r="J60" s="3">
        <v>60.0</v>
      </c>
    </row>
    <row r="61" ht="15.75" customHeight="1">
      <c r="A61" s="3">
        <v>59.0</v>
      </c>
      <c r="B61" s="10" t="s">
        <v>57</v>
      </c>
      <c r="C61" s="10" t="s">
        <v>13</v>
      </c>
      <c r="D61" s="10" t="s">
        <v>14</v>
      </c>
      <c r="E61" s="3">
        <v>5.0</v>
      </c>
      <c r="F61" s="3">
        <v>6.0</v>
      </c>
      <c r="G61" s="7">
        <v>3.0</v>
      </c>
      <c r="H61" s="3">
        <v>1.0</v>
      </c>
      <c r="I61" s="11">
        <f t="shared" si="1"/>
        <v>11</v>
      </c>
      <c r="J61" s="3">
        <v>60.0</v>
      </c>
    </row>
    <row r="62" ht="15.75" customHeight="1">
      <c r="A62" s="3">
        <v>66.0</v>
      </c>
      <c r="B62" s="10" t="s">
        <v>86</v>
      </c>
      <c r="C62" s="10" t="s">
        <v>13</v>
      </c>
      <c r="D62" s="10" t="s">
        <v>14</v>
      </c>
      <c r="E62" s="3">
        <v>6.0</v>
      </c>
      <c r="F62" s="3">
        <v>5.0</v>
      </c>
      <c r="G62" s="7">
        <v>4.0</v>
      </c>
      <c r="H62" s="3">
        <v>-1.0</v>
      </c>
      <c r="I62" s="11">
        <f t="shared" si="1"/>
        <v>11</v>
      </c>
      <c r="J62" s="3">
        <v>60.0</v>
      </c>
    </row>
    <row r="63" ht="15.75" customHeight="1">
      <c r="A63" s="3">
        <v>75.0</v>
      </c>
      <c r="B63" s="10" t="s">
        <v>59</v>
      </c>
      <c r="C63" s="10" t="s">
        <v>13</v>
      </c>
      <c r="D63" s="10" t="s">
        <v>14</v>
      </c>
      <c r="E63" s="3">
        <v>6.0</v>
      </c>
      <c r="F63" s="3">
        <v>5.0</v>
      </c>
      <c r="G63" s="7">
        <v>3.0</v>
      </c>
      <c r="H63" s="3">
        <v>-1.0</v>
      </c>
      <c r="I63" s="11">
        <f t="shared" si="1"/>
        <v>11</v>
      </c>
      <c r="J63" s="3">
        <v>60.0</v>
      </c>
    </row>
    <row r="64" ht="15.75" customHeight="1">
      <c r="A64" s="3">
        <v>102.0</v>
      </c>
      <c r="B64" s="10" t="s">
        <v>97</v>
      </c>
      <c r="C64" s="10" t="s">
        <v>13</v>
      </c>
      <c r="D64" s="10" t="s">
        <v>14</v>
      </c>
      <c r="E64" s="3">
        <v>5.0</v>
      </c>
      <c r="F64" s="3">
        <v>6.0</v>
      </c>
      <c r="G64" s="7">
        <v>4.0</v>
      </c>
      <c r="H64" s="3">
        <v>-1.0</v>
      </c>
      <c r="I64" s="11">
        <f t="shared" si="1"/>
        <v>11</v>
      </c>
      <c r="J64" s="3">
        <v>60.0</v>
      </c>
    </row>
    <row r="65" ht="15.75" customHeight="1">
      <c r="A65" s="3">
        <v>113.0</v>
      </c>
      <c r="B65" s="10" t="s">
        <v>101</v>
      </c>
      <c r="C65" s="10" t="s">
        <v>13</v>
      </c>
      <c r="D65" s="10" t="s">
        <v>14</v>
      </c>
      <c r="E65" s="3">
        <v>5.0</v>
      </c>
      <c r="F65" s="3">
        <v>6.0</v>
      </c>
      <c r="G65" s="7">
        <v>4.0</v>
      </c>
      <c r="H65" s="3">
        <v>1.0</v>
      </c>
      <c r="I65" s="11">
        <f t="shared" si="1"/>
        <v>11</v>
      </c>
      <c r="J65" s="3">
        <v>60.0</v>
      </c>
    </row>
    <row r="66" ht="15.75" customHeight="1">
      <c r="A66" s="3">
        <v>159.0</v>
      </c>
      <c r="B66" s="10" t="s">
        <v>40</v>
      </c>
      <c r="C66" s="10" t="s">
        <v>13</v>
      </c>
      <c r="D66" s="10" t="s">
        <v>14</v>
      </c>
      <c r="E66" s="3">
        <v>5.0</v>
      </c>
      <c r="F66" s="3">
        <v>6.0</v>
      </c>
      <c r="G66" s="7">
        <v>2.0</v>
      </c>
      <c r="H66" s="3">
        <v>1.0</v>
      </c>
      <c r="I66" s="11">
        <f t="shared" si="1"/>
        <v>11</v>
      </c>
      <c r="J66" s="3">
        <v>60.0</v>
      </c>
    </row>
    <row r="67" ht="15.75" customHeight="1">
      <c r="A67" s="3">
        <v>81.0</v>
      </c>
      <c r="B67" s="10" t="s">
        <v>18</v>
      </c>
      <c r="C67" s="10" t="s">
        <v>11</v>
      </c>
      <c r="D67" s="10" t="s">
        <v>14</v>
      </c>
      <c r="E67" s="3">
        <v>6.0</v>
      </c>
      <c r="F67" s="3">
        <v>6.0</v>
      </c>
      <c r="G67" s="7">
        <v>1.0</v>
      </c>
      <c r="H67" s="3">
        <v>-1.0</v>
      </c>
      <c r="I67" s="11">
        <f t="shared" si="1"/>
        <v>12</v>
      </c>
      <c r="J67" s="3">
        <v>60.0</v>
      </c>
      <c r="K67" s="33">
        <v>2.0</v>
      </c>
      <c r="L67" s="33">
        <v>130.0</v>
      </c>
    </row>
    <row r="68" ht="15.75" customHeight="1">
      <c r="A68" s="3">
        <v>95.0</v>
      </c>
      <c r="B68" s="10" t="s">
        <v>109</v>
      </c>
      <c r="C68" s="10" t="s">
        <v>11</v>
      </c>
      <c r="D68" s="10" t="s">
        <v>11</v>
      </c>
      <c r="E68" s="3">
        <v>6.0</v>
      </c>
      <c r="F68" s="3">
        <v>6.0</v>
      </c>
      <c r="G68" s="7">
        <v>5.0</v>
      </c>
      <c r="H68" s="3">
        <v>-1.0</v>
      </c>
      <c r="I68" s="11">
        <f t="shared" si="1"/>
        <v>12</v>
      </c>
      <c r="J68" s="3">
        <v>60.0</v>
      </c>
      <c r="K68" s="33">
        <v>3.0</v>
      </c>
      <c r="L68" s="33">
        <v>120.0</v>
      </c>
    </row>
    <row r="69" ht="15.75" customHeight="1">
      <c r="A69" s="3">
        <v>63.0</v>
      </c>
      <c r="B69" s="10" t="s">
        <v>33</v>
      </c>
      <c r="C69" s="10" t="s">
        <v>11</v>
      </c>
      <c r="D69" s="10" t="s">
        <v>14</v>
      </c>
      <c r="E69" s="3">
        <v>6.0</v>
      </c>
      <c r="F69" s="3">
        <v>6.0</v>
      </c>
      <c r="G69" s="7">
        <v>2.0</v>
      </c>
      <c r="H69" s="3">
        <v>1.0</v>
      </c>
      <c r="I69" s="11">
        <f t="shared" si="1"/>
        <v>12</v>
      </c>
      <c r="J69" s="3">
        <v>80.0</v>
      </c>
      <c r="K69" s="33">
        <v>5.0</v>
      </c>
      <c r="L69" s="33">
        <v>115.0</v>
      </c>
    </row>
    <row r="70" ht="15.75" customHeight="1">
      <c r="A70" s="3">
        <v>130.0</v>
      </c>
      <c r="B70" s="10" t="s">
        <v>70</v>
      </c>
      <c r="C70" s="10" t="s">
        <v>13</v>
      </c>
      <c r="D70" s="10" t="s">
        <v>14</v>
      </c>
      <c r="E70" s="3">
        <v>6.0</v>
      </c>
      <c r="F70" s="3">
        <v>6.0</v>
      </c>
      <c r="G70" s="7">
        <v>3.0</v>
      </c>
      <c r="H70" s="3">
        <v>1.0</v>
      </c>
      <c r="I70" s="11">
        <f t="shared" si="1"/>
        <v>12</v>
      </c>
      <c r="J70" s="3">
        <v>60.0</v>
      </c>
      <c r="K70" s="33">
        <v>10.0</v>
      </c>
      <c r="L70" s="33">
        <v>130.0</v>
      </c>
    </row>
    <row r="71" ht="15.75" customHeight="1">
      <c r="A71" s="3">
        <v>127.0</v>
      </c>
      <c r="B71" s="10" t="s">
        <v>45</v>
      </c>
      <c r="C71" s="10" t="s">
        <v>13</v>
      </c>
      <c r="D71" s="10" t="s">
        <v>11</v>
      </c>
      <c r="E71" s="3">
        <v>6.0</v>
      </c>
      <c r="F71" s="3">
        <v>6.0</v>
      </c>
      <c r="G71" s="7">
        <v>3.0</v>
      </c>
      <c r="H71" s="3">
        <v>-1.0</v>
      </c>
      <c r="I71" s="11">
        <f t="shared" si="1"/>
        <v>12</v>
      </c>
      <c r="J71" s="3">
        <v>60.0</v>
      </c>
      <c r="K71" s="33">
        <v>11.0</v>
      </c>
      <c r="L71" s="33">
        <v>150.0</v>
      </c>
    </row>
    <row r="72" ht="15.75" customHeight="1">
      <c r="A72" s="3">
        <v>47.0</v>
      </c>
      <c r="B72" s="15" t="s">
        <v>43</v>
      </c>
      <c r="C72" s="15" t="s">
        <v>11</v>
      </c>
      <c r="D72" s="15" t="s">
        <v>11</v>
      </c>
      <c r="E72" s="15">
        <v>6.0</v>
      </c>
      <c r="F72" s="15">
        <v>6.0</v>
      </c>
      <c r="G72" s="32">
        <v>3.0</v>
      </c>
      <c r="H72" s="15">
        <v>-1.0</v>
      </c>
      <c r="I72" s="11">
        <f t="shared" si="1"/>
        <v>12</v>
      </c>
      <c r="J72" s="15">
        <v>60.0</v>
      </c>
      <c r="K72" s="33">
        <v>14.0</v>
      </c>
      <c r="L72" s="33">
        <v>95.0</v>
      </c>
    </row>
    <row r="73" ht="15.75" customHeight="1">
      <c r="A73" s="3">
        <v>68.0</v>
      </c>
      <c r="B73" s="10" t="s">
        <v>87</v>
      </c>
      <c r="C73" s="10" t="s">
        <v>13</v>
      </c>
      <c r="D73" s="10" t="s">
        <v>14</v>
      </c>
      <c r="E73" s="3">
        <v>7.0</v>
      </c>
      <c r="F73" s="3">
        <v>5.0</v>
      </c>
      <c r="G73" s="7">
        <v>4.0</v>
      </c>
      <c r="H73" s="3">
        <v>-1.0</v>
      </c>
      <c r="I73" s="11">
        <f t="shared" si="1"/>
        <v>12</v>
      </c>
      <c r="J73" s="3">
        <v>60.0</v>
      </c>
      <c r="K73" s="33">
        <v>18.0</v>
      </c>
      <c r="L73" s="33">
        <v>85.0</v>
      </c>
    </row>
    <row r="74" ht="15.75" customHeight="1">
      <c r="A74" s="3">
        <v>106.0</v>
      </c>
      <c r="B74" s="10" t="s">
        <v>63</v>
      </c>
      <c r="C74" s="10" t="s">
        <v>13</v>
      </c>
      <c r="D74" s="10" t="s">
        <v>14</v>
      </c>
      <c r="E74" s="3">
        <v>7.0</v>
      </c>
      <c r="F74" s="3">
        <v>5.0</v>
      </c>
      <c r="G74" s="7">
        <v>3.0</v>
      </c>
      <c r="H74" s="3">
        <v>-1.0</v>
      </c>
      <c r="I74" s="11">
        <f t="shared" si="1"/>
        <v>12</v>
      </c>
      <c r="J74" s="3">
        <v>60.0</v>
      </c>
      <c r="K74" s="33">
        <v>18.0</v>
      </c>
      <c r="L74" s="33">
        <v>125.0</v>
      </c>
    </row>
    <row r="75" ht="15.75" customHeight="1">
      <c r="A75" s="3">
        <v>120.0</v>
      </c>
      <c r="B75" s="10" t="s">
        <v>130</v>
      </c>
      <c r="C75" s="10" t="s">
        <v>13</v>
      </c>
      <c r="D75" s="10" t="s">
        <v>14</v>
      </c>
      <c r="E75" s="3">
        <v>6.0</v>
      </c>
      <c r="F75" s="3">
        <v>6.0</v>
      </c>
      <c r="G75" s="7">
        <v>5.0</v>
      </c>
      <c r="H75" s="3">
        <v>-1.0</v>
      </c>
      <c r="I75" s="11">
        <f t="shared" si="1"/>
        <v>12</v>
      </c>
      <c r="J75" s="3">
        <v>60.0</v>
      </c>
      <c r="K75" s="33" t="s">
        <v>180</v>
      </c>
    </row>
    <row r="76" ht="15.75" customHeight="1">
      <c r="A76" s="3">
        <v>43.0</v>
      </c>
      <c r="B76" s="10" t="s">
        <v>54</v>
      </c>
      <c r="C76" s="10" t="s">
        <v>13</v>
      </c>
      <c r="D76" s="10" t="s">
        <v>14</v>
      </c>
      <c r="E76" s="3">
        <v>4.0</v>
      </c>
      <c r="F76" s="3">
        <v>8.0</v>
      </c>
      <c r="G76" s="7">
        <v>3.0</v>
      </c>
      <c r="H76" s="3">
        <v>1.0</v>
      </c>
      <c r="I76" s="11">
        <f t="shared" si="1"/>
        <v>12</v>
      </c>
      <c r="J76" s="3">
        <v>60.0</v>
      </c>
      <c r="K76" s="33" t="s">
        <v>176</v>
      </c>
    </row>
    <row r="77" ht="15.75" customHeight="1">
      <c r="A77" s="3">
        <v>34.0</v>
      </c>
      <c r="B77" s="10" t="s">
        <v>51</v>
      </c>
      <c r="C77" s="10" t="s">
        <v>11</v>
      </c>
      <c r="D77" s="10" t="s">
        <v>14</v>
      </c>
      <c r="E77" s="3">
        <v>7.0</v>
      </c>
      <c r="F77" s="3">
        <v>5.0</v>
      </c>
      <c r="G77" s="7">
        <v>3.0</v>
      </c>
      <c r="H77" s="3">
        <v>1.0</v>
      </c>
      <c r="I77" s="11">
        <f t="shared" si="1"/>
        <v>12</v>
      </c>
      <c r="J77" s="3">
        <v>80.0</v>
      </c>
    </row>
    <row r="78" ht="15.75" customHeight="1">
      <c r="A78" s="3">
        <v>36.0</v>
      </c>
      <c r="B78" s="10" t="s">
        <v>149</v>
      </c>
      <c r="C78" s="10" t="s">
        <v>11</v>
      </c>
      <c r="D78" s="10" t="s">
        <v>14</v>
      </c>
      <c r="E78" s="3">
        <v>6.0</v>
      </c>
      <c r="F78" s="3">
        <v>6.0</v>
      </c>
      <c r="G78" s="7">
        <v>6.0</v>
      </c>
      <c r="H78" s="3">
        <v>1.0</v>
      </c>
      <c r="I78" s="11">
        <f t="shared" si="1"/>
        <v>12</v>
      </c>
      <c r="J78" s="3">
        <v>60.0</v>
      </c>
    </row>
    <row r="79" ht="15.75" customHeight="1">
      <c r="A79" s="3">
        <v>55.0</v>
      </c>
      <c r="B79" s="10" t="s">
        <v>122</v>
      </c>
      <c r="C79" s="10" t="s">
        <v>11</v>
      </c>
      <c r="D79" s="10" t="s">
        <v>14</v>
      </c>
      <c r="E79" s="3">
        <v>7.0</v>
      </c>
      <c r="F79" s="3">
        <v>5.0</v>
      </c>
      <c r="G79" s="7">
        <v>5.0</v>
      </c>
      <c r="H79" s="3">
        <v>1.0</v>
      </c>
      <c r="I79" s="11">
        <f t="shared" si="1"/>
        <v>12</v>
      </c>
      <c r="J79" s="3">
        <v>80.0</v>
      </c>
    </row>
    <row r="80" ht="15.75" customHeight="1">
      <c r="A80" s="3">
        <v>61.0</v>
      </c>
      <c r="B80" s="10" t="s">
        <v>31</v>
      </c>
      <c r="C80" s="10" t="s">
        <v>11</v>
      </c>
      <c r="D80" s="10" t="s">
        <v>14</v>
      </c>
      <c r="E80" s="3">
        <v>6.0</v>
      </c>
      <c r="F80" s="3">
        <v>6.0</v>
      </c>
      <c r="G80" s="7">
        <v>2.0</v>
      </c>
      <c r="H80" s="3">
        <v>1.0</v>
      </c>
      <c r="I80" s="11">
        <f t="shared" si="1"/>
        <v>12</v>
      </c>
      <c r="J80" s="3">
        <v>60.0</v>
      </c>
    </row>
    <row r="81" ht="15.75" customHeight="1">
      <c r="A81" s="3">
        <v>96.0</v>
      </c>
      <c r="B81" s="10" t="s">
        <v>155</v>
      </c>
      <c r="C81" s="10" t="s">
        <v>11</v>
      </c>
      <c r="D81" s="10" t="s">
        <v>14</v>
      </c>
      <c r="E81" s="3">
        <v>7.0</v>
      </c>
      <c r="F81" s="3">
        <v>5.0</v>
      </c>
      <c r="G81" s="7">
        <v>6.0</v>
      </c>
      <c r="H81" s="3">
        <v>1.0</v>
      </c>
      <c r="I81" s="11">
        <f t="shared" si="1"/>
        <v>12</v>
      </c>
      <c r="J81" s="3">
        <v>60.0</v>
      </c>
    </row>
    <row r="82" ht="15.75" customHeight="1">
      <c r="A82" s="3">
        <v>24.0</v>
      </c>
      <c r="B82" s="10" t="s">
        <v>27</v>
      </c>
      <c r="C82" s="10" t="s">
        <v>13</v>
      </c>
      <c r="D82" s="10" t="s">
        <v>14</v>
      </c>
      <c r="E82" s="3">
        <v>6.0</v>
      </c>
      <c r="F82" s="3">
        <v>6.0</v>
      </c>
      <c r="G82" s="7">
        <v>2.0</v>
      </c>
      <c r="H82" s="3">
        <v>1.0</v>
      </c>
      <c r="I82" s="11">
        <f t="shared" si="1"/>
        <v>12</v>
      </c>
      <c r="J82" s="3">
        <v>80.0</v>
      </c>
    </row>
    <row r="83" ht="15.75" customHeight="1">
      <c r="A83" s="3">
        <v>39.0</v>
      </c>
      <c r="B83" s="10" t="s">
        <v>52</v>
      </c>
      <c r="C83" s="10" t="s">
        <v>13</v>
      </c>
      <c r="D83" s="10" t="s">
        <v>14</v>
      </c>
      <c r="E83" s="3">
        <v>6.0</v>
      </c>
      <c r="F83" s="3">
        <v>6.0</v>
      </c>
      <c r="G83" s="7">
        <v>3.0</v>
      </c>
      <c r="H83" s="3">
        <v>-1.0</v>
      </c>
      <c r="I83" s="11">
        <f t="shared" si="1"/>
        <v>12</v>
      </c>
      <c r="J83" s="3">
        <v>60.0</v>
      </c>
    </row>
    <row r="84" ht="15.75" customHeight="1">
      <c r="A84" s="3">
        <v>109.0</v>
      </c>
      <c r="B84" s="10" t="s">
        <v>98</v>
      </c>
      <c r="C84" s="10" t="s">
        <v>13</v>
      </c>
      <c r="D84" s="10" t="s">
        <v>14</v>
      </c>
      <c r="E84" s="3">
        <v>6.0</v>
      </c>
      <c r="F84" s="3">
        <v>6.0</v>
      </c>
      <c r="G84" s="7">
        <v>4.0</v>
      </c>
      <c r="H84" s="3">
        <v>1.0</v>
      </c>
      <c r="I84" s="11">
        <f t="shared" si="1"/>
        <v>12</v>
      </c>
      <c r="J84" s="3">
        <v>60.0</v>
      </c>
    </row>
    <row r="85" ht="15.75" customHeight="1">
      <c r="A85" s="3">
        <v>110.0</v>
      </c>
      <c r="B85" s="10" t="s">
        <v>65</v>
      </c>
      <c r="C85" s="10" t="s">
        <v>13</v>
      </c>
      <c r="D85" s="10" t="s">
        <v>14</v>
      </c>
      <c r="E85" s="3">
        <v>6.0</v>
      </c>
      <c r="F85" s="3">
        <v>6.0</v>
      </c>
      <c r="G85" s="7">
        <v>3.0</v>
      </c>
      <c r="H85" s="3">
        <v>-1.0</v>
      </c>
      <c r="I85" s="11">
        <f t="shared" si="1"/>
        <v>12</v>
      </c>
      <c r="J85" s="3">
        <v>60.0</v>
      </c>
    </row>
    <row r="86" ht="15.75" customHeight="1">
      <c r="A86" s="3">
        <v>138.0</v>
      </c>
      <c r="B86" s="10" t="s">
        <v>134</v>
      </c>
      <c r="C86" s="10" t="s">
        <v>13</v>
      </c>
      <c r="D86" s="10" t="s">
        <v>14</v>
      </c>
      <c r="E86" s="3">
        <v>6.0</v>
      </c>
      <c r="F86" s="3">
        <v>6.0</v>
      </c>
      <c r="G86" s="7">
        <v>5.0</v>
      </c>
      <c r="H86" s="3">
        <v>-1.0</v>
      </c>
      <c r="I86" s="11">
        <f t="shared" si="1"/>
        <v>12</v>
      </c>
      <c r="J86" s="3">
        <v>60.0</v>
      </c>
    </row>
    <row r="87" ht="15.75" customHeight="1">
      <c r="A87" s="3">
        <v>69.0</v>
      </c>
      <c r="B87" s="10" t="s">
        <v>108</v>
      </c>
      <c r="C87" s="10" t="s">
        <v>11</v>
      </c>
      <c r="D87" s="10" t="s">
        <v>11</v>
      </c>
      <c r="E87" s="3">
        <v>7.0</v>
      </c>
      <c r="F87" s="3">
        <v>5.0</v>
      </c>
      <c r="G87" s="7">
        <v>5.0</v>
      </c>
      <c r="H87" s="3">
        <v>1.0</v>
      </c>
      <c r="I87" s="11">
        <f t="shared" si="1"/>
        <v>12</v>
      </c>
      <c r="J87" s="3">
        <v>80.0</v>
      </c>
    </row>
    <row r="88" ht="15.75" customHeight="1">
      <c r="A88" s="3">
        <v>114.0</v>
      </c>
      <c r="B88" s="10" t="s">
        <v>44</v>
      </c>
      <c r="C88" s="10" t="s">
        <v>13</v>
      </c>
      <c r="D88" s="10" t="s">
        <v>11</v>
      </c>
      <c r="E88" s="3">
        <v>7.0</v>
      </c>
      <c r="F88" s="3">
        <v>5.0</v>
      </c>
      <c r="G88" s="7">
        <v>3.0</v>
      </c>
      <c r="H88" s="3">
        <v>-1.0</v>
      </c>
      <c r="I88" s="11">
        <f t="shared" si="1"/>
        <v>12</v>
      </c>
      <c r="J88" s="3">
        <v>80.0</v>
      </c>
    </row>
    <row r="89" ht="15.75" customHeight="1">
      <c r="A89" s="3">
        <v>31.0</v>
      </c>
      <c r="B89" s="10" t="s">
        <v>42</v>
      </c>
      <c r="C89" s="10" t="s">
        <v>11</v>
      </c>
      <c r="D89" s="10" t="s">
        <v>11</v>
      </c>
      <c r="E89" s="3">
        <v>7.0</v>
      </c>
      <c r="F89" s="3">
        <v>6.0</v>
      </c>
      <c r="G89" s="7">
        <v>3.0</v>
      </c>
      <c r="H89" s="3">
        <v>1.0</v>
      </c>
      <c r="I89" s="11">
        <f t="shared" si="1"/>
        <v>13</v>
      </c>
      <c r="J89" s="3">
        <v>80.0</v>
      </c>
      <c r="K89" s="33">
        <v>1.0</v>
      </c>
      <c r="L89" s="33">
        <v>145.0</v>
      </c>
    </row>
    <row r="90" ht="15.75" customHeight="1">
      <c r="A90" s="3">
        <v>108.0</v>
      </c>
      <c r="B90" s="10" t="s">
        <v>64</v>
      </c>
      <c r="C90" s="10" t="s">
        <v>13</v>
      </c>
      <c r="D90" s="10" t="s">
        <v>14</v>
      </c>
      <c r="E90" s="3">
        <v>6.0</v>
      </c>
      <c r="F90" s="3">
        <v>7.0</v>
      </c>
      <c r="G90" s="7">
        <v>3.0</v>
      </c>
      <c r="H90" s="3">
        <v>1.0</v>
      </c>
      <c r="I90" s="11">
        <f t="shared" si="1"/>
        <v>13</v>
      </c>
      <c r="J90" s="3">
        <v>80.0</v>
      </c>
      <c r="K90" s="33">
        <v>12.0</v>
      </c>
      <c r="L90" s="33">
        <v>135.0</v>
      </c>
    </row>
    <row r="91" ht="15.75" customHeight="1">
      <c r="A91" s="3">
        <v>42.0</v>
      </c>
      <c r="B91" s="10" t="s">
        <v>163</v>
      </c>
      <c r="C91" s="10" t="s">
        <v>11</v>
      </c>
      <c r="D91" s="10" t="s">
        <v>14</v>
      </c>
      <c r="E91" s="3">
        <v>8.0</v>
      </c>
      <c r="F91" s="3">
        <v>5.0</v>
      </c>
      <c r="G91" s="7">
        <v>7.0</v>
      </c>
      <c r="H91" s="3">
        <v>1.0</v>
      </c>
      <c r="I91" s="11">
        <f t="shared" si="1"/>
        <v>13</v>
      </c>
      <c r="J91" s="3">
        <v>60.0</v>
      </c>
    </row>
    <row r="92" ht="15.75" customHeight="1">
      <c r="A92" s="3">
        <v>46.0</v>
      </c>
      <c r="B92" s="10" t="s">
        <v>29</v>
      </c>
      <c r="C92" s="10" t="s">
        <v>11</v>
      </c>
      <c r="D92" s="10" t="s">
        <v>14</v>
      </c>
      <c r="E92" s="3">
        <v>6.0</v>
      </c>
      <c r="F92" s="3">
        <v>7.0</v>
      </c>
      <c r="G92" s="7">
        <v>2.0</v>
      </c>
      <c r="H92" s="3">
        <v>-1.0</v>
      </c>
      <c r="I92" s="11">
        <f t="shared" si="1"/>
        <v>13</v>
      </c>
      <c r="J92" s="3">
        <v>60.0</v>
      </c>
    </row>
    <row r="93" ht="15.75" customHeight="1">
      <c r="A93" s="3">
        <v>53.0</v>
      </c>
      <c r="B93" s="10" t="s">
        <v>85</v>
      </c>
      <c r="C93" s="10" t="s">
        <v>11</v>
      </c>
      <c r="D93" s="10" t="s">
        <v>14</v>
      </c>
      <c r="E93" s="3">
        <v>7.0</v>
      </c>
      <c r="F93" s="3">
        <v>6.0</v>
      </c>
      <c r="G93" s="7">
        <v>4.0</v>
      </c>
      <c r="H93" s="3">
        <v>-1.0</v>
      </c>
      <c r="I93" s="11">
        <f t="shared" si="1"/>
        <v>13</v>
      </c>
      <c r="J93" s="3">
        <v>80.0</v>
      </c>
    </row>
    <row r="94" ht="15.75" customHeight="1">
      <c r="A94" s="3">
        <v>80.0</v>
      </c>
      <c r="B94" s="10" t="s">
        <v>92</v>
      </c>
      <c r="C94" s="10" t="s">
        <v>11</v>
      </c>
      <c r="D94" s="10" t="s">
        <v>14</v>
      </c>
      <c r="E94" s="3">
        <v>7.0</v>
      </c>
      <c r="F94" s="3">
        <v>6.0</v>
      </c>
      <c r="G94" s="7">
        <v>4.0</v>
      </c>
      <c r="H94" s="3">
        <v>-1.0</v>
      </c>
      <c r="I94" s="11">
        <f t="shared" si="1"/>
        <v>13</v>
      </c>
      <c r="J94" s="3">
        <v>80.0</v>
      </c>
    </row>
    <row r="95" ht="15.75" customHeight="1">
      <c r="A95" s="3">
        <v>133.0</v>
      </c>
      <c r="B95" s="10" t="s">
        <v>167</v>
      </c>
      <c r="C95" s="10" t="s">
        <v>11</v>
      </c>
      <c r="D95" s="10" t="s">
        <v>14</v>
      </c>
      <c r="E95" s="3">
        <v>6.0</v>
      </c>
      <c r="F95" s="3">
        <v>7.0</v>
      </c>
      <c r="G95" s="7">
        <v>7.0</v>
      </c>
      <c r="H95" s="3">
        <v>1.0</v>
      </c>
      <c r="I95" s="11">
        <f t="shared" si="1"/>
        <v>13</v>
      </c>
      <c r="J95" s="3">
        <v>60.0</v>
      </c>
    </row>
    <row r="96" ht="15.75" customHeight="1">
      <c r="A96" s="3">
        <v>150.0</v>
      </c>
      <c r="B96" s="10" t="s">
        <v>139</v>
      </c>
      <c r="C96" s="10" t="s">
        <v>11</v>
      </c>
      <c r="D96" s="10" t="s">
        <v>14</v>
      </c>
      <c r="E96" s="3">
        <v>7.0</v>
      </c>
      <c r="F96" s="3">
        <v>6.0</v>
      </c>
      <c r="G96" s="7">
        <v>5.0</v>
      </c>
      <c r="H96" s="3">
        <v>1.0</v>
      </c>
      <c r="I96" s="11">
        <f t="shared" si="1"/>
        <v>13</v>
      </c>
      <c r="J96" s="3">
        <v>80.0</v>
      </c>
    </row>
    <row r="97" ht="15.75" customHeight="1">
      <c r="A97" s="3">
        <v>152.0</v>
      </c>
      <c r="B97" s="10" t="s">
        <v>140</v>
      </c>
      <c r="C97" s="10" t="s">
        <v>11</v>
      </c>
      <c r="D97" s="10" t="s">
        <v>14</v>
      </c>
      <c r="E97" s="3">
        <v>6.0</v>
      </c>
      <c r="F97" s="3">
        <v>7.0</v>
      </c>
      <c r="G97" s="7">
        <v>5.0</v>
      </c>
      <c r="H97" s="3">
        <v>1.0</v>
      </c>
      <c r="I97" s="11">
        <f t="shared" si="1"/>
        <v>13</v>
      </c>
      <c r="J97" s="3">
        <v>60.0</v>
      </c>
    </row>
    <row r="98" ht="15.75" customHeight="1">
      <c r="A98" s="3">
        <v>54.0</v>
      </c>
      <c r="B98" s="10" t="s">
        <v>121</v>
      </c>
      <c r="C98" s="10" t="s">
        <v>13</v>
      </c>
      <c r="D98" s="10" t="s">
        <v>14</v>
      </c>
      <c r="E98" s="3">
        <v>7.0</v>
      </c>
      <c r="F98" s="3">
        <v>6.0</v>
      </c>
      <c r="G98" s="7">
        <v>5.0</v>
      </c>
      <c r="H98" s="3">
        <v>-1.0</v>
      </c>
      <c r="I98" s="11">
        <f t="shared" si="1"/>
        <v>13</v>
      </c>
      <c r="J98" s="3">
        <v>80.0</v>
      </c>
    </row>
    <row r="99" ht="15.75" customHeight="1">
      <c r="A99" s="3">
        <v>87.0</v>
      </c>
      <c r="B99" s="16" t="s">
        <v>77</v>
      </c>
      <c r="C99" s="15" t="s">
        <v>11</v>
      </c>
      <c r="D99" s="15" t="s">
        <v>11</v>
      </c>
      <c r="E99" s="15">
        <v>7.0</v>
      </c>
      <c r="F99" s="15">
        <v>6.0</v>
      </c>
      <c r="G99" s="32">
        <v>4.0</v>
      </c>
      <c r="H99" s="15">
        <v>-1.0</v>
      </c>
      <c r="I99" s="11">
        <f t="shared" si="1"/>
        <v>13</v>
      </c>
      <c r="J99" s="15">
        <v>80.0</v>
      </c>
    </row>
    <row r="100" ht="15.75" customHeight="1">
      <c r="A100" s="3">
        <v>160.0</v>
      </c>
      <c r="B100" s="10" t="s">
        <v>141</v>
      </c>
      <c r="C100" s="10" t="s">
        <v>13</v>
      </c>
      <c r="D100" s="10" t="s">
        <v>14</v>
      </c>
      <c r="E100" s="3">
        <v>7.0</v>
      </c>
      <c r="F100" s="3">
        <v>7.0</v>
      </c>
      <c r="G100" s="7">
        <v>5.0</v>
      </c>
      <c r="H100" s="3">
        <v>1.0</v>
      </c>
      <c r="I100" s="11">
        <f t="shared" si="1"/>
        <v>14</v>
      </c>
      <c r="J100" s="3">
        <v>80.0</v>
      </c>
      <c r="K100" s="33">
        <v>1.0</v>
      </c>
      <c r="L100" s="33">
        <v>155.0</v>
      </c>
    </row>
    <row r="101" ht="15.75" customHeight="1">
      <c r="A101" s="3">
        <v>140.0</v>
      </c>
      <c r="B101" s="10" t="s">
        <v>168</v>
      </c>
      <c r="C101" s="10" t="s">
        <v>11</v>
      </c>
      <c r="D101" s="10" t="s">
        <v>14</v>
      </c>
      <c r="E101" s="3">
        <v>7.0</v>
      </c>
      <c r="F101" s="3">
        <v>7.0</v>
      </c>
      <c r="G101" s="7">
        <v>7.0</v>
      </c>
      <c r="H101" s="3">
        <v>1.0</v>
      </c>
      <c r="I101" s="11">
        <f t="shared" si="1"/>
        <v>14</v>
      </c>
      <c r="J101" s="3">
        <v>80.0</v>
      </c>
      <c r="K101" s="33">
        <v>10.0</v>
      </c>
      <c r="L101" s="33">
        <v>95.0</v>
      </c>
    </row>
    <row r="102" ht="15.75" customHeight="1">
      <c r="A102" s="3">
        <v>16.0</v>
      </c>
      <c r="B102" s="10" t="s">
        <v>144</v>
      </c>
      <c r="C102" s="10" t="s">
        <v>11</v>
      </c>
      <c r="D102" s="10" t="s">
        <v>14</v>
      </c>
      <c r="E102" s="3">
        <v>7.0</v>
      </c>
      <c r="F102" s="3">
        <v>7.0</v>
      </c>
      <c r="G102" s="7">
        <v>6.0</v>
      </c>
      <c r="H102" s="3">
        <v>-1.0</v>
      </c>
      <c r="I102" s="11">
        <f t="shared" si="1"/>
        <v>14</v>
      </c>
      <c r="J102" s="3">
        <v>80.0</v>
      </c>
      <c r="K102" s="33">
        <v>12.0</v>
      </c>
      <c r="L102" s="33">
        <v>120.0</v>
      </c>
    </row>
    <row r="103" ht="15.75" customHeight="1">
      <c r="A103" s="3">
        <v>44.0</v>
      </c>
      <c r="B103" s="10" t="s">
        <v>150</v>
      </c>
      <c r="C103" s="10" t="s">
        <v>11</v>
      </c>
      <c r="D103" s="10" t="s">
        <v>14</v>
      </c>
      <c r="E103" s="3">
        <v>7.0</v>
      </c>
      <c r="F103" s="3">
        <v>7.0</v>
      </c>
      <c r="G103" s="7">
        <v>6.0</v>
      </c>
      <c r="H103" s="3">
        <v>-1.0</v>
      </c>
      <c r="I103" s="11">
        <f t="shared" si="1"/>
        <v>14</v>
      </c>
      <c r="J103" s="3">
        <v>80.0</v>
      </c>
      <c r="K103" s="33">
        <v>18.0</v>
      </c>
      <c r="L103" s="33">
        <v>115.0</v>
      </c>
    </row>
    <row r="104" ht="15.75" customHeight="1">
      <c r="A104" s="3">
        <v>11.0</v>
      </c>
      <c r="B104" s="10" t="s">
        <v>113</v>
      </c>
      <c r="C104" s="10" t="s">
        <v>11</v>
      </c>
      <c r="D104" s="10" t="s">
        <v>14</v>
      </c>
      <c r="E104" s="3">
        <v>7.0</v>
      </c>
      <c r="F104" s="3">
        <v>7.0</v>
      </c>
      <c r="G104" s="7">
        <v>5.0</v>
      </c>
      <c r="H104" s="3">
        <v>-1.0</v>
      </c>
      <c r="I104" s="11">
        <f t="shared" si="1"/>
        <v>14</v>
      </c>
      <c r="J104" s="3">
        <v>80.0</v>
      </c>
      <c r="K104" s="33" t="s">
        <v>182</v>
      </c>
      <c r="L104" s="33">
        <v>115.0</v>
      </c>
    </row>
    <row r="105" ht="15.75" customHeight="1">
      <c r="A105" s="3">
        <v>35.0</v>
      </c>
      <c r="B105" s="10" t="s">
        <v>148</v>
      </c>
      <c r="C105" s="10" t="s">
        <v>11</v>
      </c>
      <c r="D105" s="10" t="s">
        <v>14</v>
      </c>
      <c r="E105" s="3">
        <v>7.0</v>
      </c>
      <c r="F105" s="3">
        <v>7.0</v>
      </c>
      <c r="G105" s="7">
        <v>6.0</v>
      </c>
      <c r="H105" s="3">
        <v>1.0</v>
      </c>
      <c r="I105" s="11">
        <f t="shared" si="1"/>
        <v>14</v>
      </c>
      <c r="J105" s="3">
        <v>80.0</v>
      </c>
    </row>
    <row r="106" ht="15.75" customHeight="1">
      <c r="A106" s="3">
        <v>82.0</v>
      </c>
      <c r="B106" s="10" t="s">
        <v>61</v>
      </c>
      <c r="C106" s="10" t="s">
        <v>11</v>
      </c>
      <c r="D106" s="10" t="s">
        <v>14</v>
      </c>
      <c r="E106" s="3">
        <v>6.0</v>
      </c>
      <c r="F106" s="3">
        <v>8.0</v>
      </c>
      <c r="G106" s="7">
        <v>3.0</v>
      </c>
      <c r="H106" s="3">
        <v>-1.0</v>
      </c>
      <c r="I106" s="11">
        <f t="shared" si="1"/>
        <v>14</v>
      </c>
      <c r="J106" s="3">
        <v>80.0</v>
      </c>
    </row>
    <row r="107" ht="15.75" customHeight="1">
      <c r="A107" s="3">
        <v>84.0</v>
      </c>
      <c r="B107" s="10" t="s">
        <v>93</v>
      </c>
      <c r="C107" s="10" t="s">
        <v>11</v>
      </c>
      <c r="D107" s="10" t="s">
        <v>14</v>
      </c>
      <c r="E107" s="3">
        <v>7.0</v>
      </c>
      <c r="F107" s="3">
        <v>7.0</v>
      </c>
      <c r="G107" s="7">
        <v>4.0</v>
      </c>
      <c r="H107" s="3">
        <v>-1.0</v>
      </c>
      <c r="I107" s="11">
        <f t="shared" si="1"/>
        <v>14</v>
      </c>
      <c r="J107" s="3">
        <v>80.0</v>
      </c>
    </row>
    <row r="108" ht="15.75" customHeight="1">
      <c r="A108" s="3">
        <v>100.0</v>
      </c>
      <c r="B108" s="10" t="s">
        <v>96</v>
      </c>
      <c r="C108" s="10" t="s">
        <v>11</v>
      </c>
      <c r="D108" s="10" t="s">
        <v>14</v>
      </c>
      <c r="E108" s="3">
        <v>7.0</v>
      </c>
      <c r="F108" s="3">
        <v>7.0</v>
      </c>
      <c r="G108" s="7">
        <v>4.0</v>
      </c>
      <c r="H108" s="3">
        <v>1.0</v>
      </c>
      <c r="I108" s="11">
        <f t="shared" si="1"/>
        <v>14</v>
      </c>
      <c r="J108" s="3">
        <v>80.0</v>
      </c>
    </row>
    <row r="109" ht="15.75" customHeight="1">
      <c r="A109" s="3">
        <v>117.0</v>
      </c>
      <c r="B109" s="10" t="s">
        <v>67</v>
      </c>
      <c r="C109" s="10" t="s">
        <v>11</v>
      </c>
      <c r="D109" s="10" t="s">
        <v>14</v>
      </c>
      <c r="E109" s="3">
        <v>7.0</v>
      </c>
      <c r="F109" s="3">
        <v>7.0</v>
      </c>
      <c r="G109" s="7">
        <v>3.0</v>
      </c>
      <c r="H109" s="3">
        <v>-1.0</v>
      </c>
      <c r="I109" s="11">
        <f t="shared" si="1"/>
        <v>14</v>
      </c>
      <c r="J109" s="3">
        <v>80.0</v>
      </c>
    </row>
    <row r="110" ht="15.75" customHeight="1">
      <c r="A110" s="3">
        <v>142.0</v>
      </c>
      <c r="B110" s="10" t="s">
        <v>136</v>
      </c>
      <c r="C110" s="10" t="s">
        <v>11</v>
      </c>
      <c r="D110" s="10" t="s">
        <v>14</v>
      </c>
      <c r="E110" s="3">
        <v>7.0</v>
      </c>
      <c r="F110" s="3">
        <v>7.0</v>
      </c>
      <c r="G110" s="7">
        <v>5.0</v>
      </c>
      <c r="H110" s="3">
        <v>-1.0</v>
      </c>
      <c r="I110" s="11">
        <f t="shared" si="1"/>
        <v>14</v>
      </c>
      <c r="J110" s="3">
        <v>80.0</v>
      </c>
    </row>
    <row r="111" ht="15.75" customHeight="1">
      <c r="A111" s="3">
        <v>4.0</v>
      </c>
      <c r="B111" s="10" t="s">
        <v>16</v>
      </c>
      <c r="C111" s="10" t="s">
        <v>13</v>
      </c>
      <c r="D111" s="10" t="s">
        <v>14</v>
      </c>
      <c r="E111" s="3">
        <v>8.0</v>
      </c>
      <c r="F111" s="3">
        <v>6.0</v>
      </c>
      <c r="G111" s="7">
        <v>1.0</v>
      </c>
      <c r="H111" s="3">
        <v>-1.0</v>
      </c>
      <c r="I111" s="11">
        <f t="shared" si="1"/>
        <v>14</v>
      </c>
      <c r="J111" s="3">
        <v>80.0</v>
      </c>
    </row>
    <row r="112" ht="15.75" customHeight="1">
      <c r="A112" s="3">
        <v>8.0</v>
      </c>
      <c r="B112" s="10" t="s">
        <v>80</v>
      </c>
      <c r="C112" s="10" t="s">
        <v>13</v>
      </c>
      <c r="D112" s="10" t="s">
        <v>14</v>
      </c>
      <c r="E112" s="3">
        <v>7.0</v>
      </c>
      <c r="F112" s="3">
        <v>7.0</v>
      </c>
      <c r="G112" s="7">
        <v>4.0</v>
      </c>
      <c r="H112" s="3">
        <v>1.0</v>
      </c>
      <c r="I112" s="11">
        <f t="shared" si="1"/>
        <v>14</v>
      </c>
      <c r="J112" s="3">
        <v>80.0</v>
      </c>
    </row>
    <row r="113" ht="15.75" customHeight="1">
      <c r="A113" s="3">
        <v>15.0</v>
      </c>
      <c r="B113" s="10" t="s">
        <v>115</v>
      </c>
      <c r="C113" s="10" t="s">
        <v>13</v>
      </c>
      <c r="D113" s="10" t="s">
        <v>14</v>
      </c>
      <c r="E113" s="3">
        <v>7.0</v>
      </c>
      <c r="F113" s="3">
        <v>7.0</v>
      </c>
      <c r="G113" s="7">
        <v>5.0</v>
      </c>
      <c r="H113" s="3">
        <v>1.0</v>
      </c>
      <c r="I113" s="11">
        <f t="shared" si="1"/>
        <v>14</v>
      </c>
      <c r="J113" s="3">
        <v>80.0</v>
      </c>
    </row>
    <row r="114" ht="15.75" customHeight="1">
      <c r="A114" s="3">
        <v>143.0</v>
      </c>
      <c r="B114" s="40" t="s">
        <v>112</v>
      </c>
      <c r="C114" s="15" t="s">
        <v>11</v>
      </c>
      <c r="D114" s="15" t="s">
        <v>11</v>
      </c>
      <c r="E114" s="15">
        <v>7.0</v>
      </c>
      <c r="F114" s="15">
        <v>7.0</v>
      </c>
      <c r="G114" s="32">
        <v>5.0</v>
      </c>
      <c r="H114" s="15">
        <v>1.0</v>
      </c>
      <c r="I114" s="11">
        <f t="shared" si="1"/>
        <v>14</v>
      </c>
      <c r="J114" s="15">
        <v>80.0</v>
      </c>
    </row>
    <row r="115" ht="15.75" customHeight="1">
      <c r="A115" s="3">
        <v>72.0</v>
      </c>
      <c r="B115" s="10" t="s">
        <v>89</v>
      </c>
      <c r="C115" s="10" t="s">
        <v>11</v>
      </c>
      <c r="D115" s="10" t="s">
        <v>14</v>
      </c>
      <c r="E115" s="3">
        <v>8.0</v>
      </c>
      <c r="F115" s="3">
        <v>7.0</v>
      </c>
      <c r="G115" s="7">
        <v>4.0</v>
      </c>
      <c r="H115" s="3">
        <v>1.0</v>
      </c>
      <c r="I115" s="11">
        <f t="shared" si="1"/>
        <v>15</v>
      </c>
      <c r="J115" s="3">
        <v>100.0</v>
      </c>
      <c r="K115" s="33">
        <v>9.0</v>
      </c>
      <c r="L115" s="33">
        <v>120.0</v>
      </c>
    </row>
    <row r="116" ht="15.75" customHeight="1">
      <c r="A116" s="3">
        <v>154.0</v>
      </c>
      <c r="B116" s="10" t="s">
        <v>39</v>
      </c>
      <c r="C116" s="10" t="s">
        <v>13</v>
      </c>
      <c r="D116" s="10" t="s">
        <v>14</v>
      </c>
      <c r="E116" s="3">
        <v>8.0</v>
      </c>
      <c r="F116" s="3">
        <v>7.0</v>
      </c>
      <c r="G116" s="7">
        <v>2.0</v>
      </c>
      <c r="H116" s="3">
        <v>1.0</v>
      </c>
      <c r="I116" s="11">
        <f t="shared" si="1"/>
        <v>15</v>
      </c>
      <c r="J116" s="3">
        <v>80.0</v>
      </c>
      <c r="K116" s="33">
        <v>11.0</v>
      </c>
      <c r="L116" s="33">
        <v>160.0</v>
      </c>
    </row>
    <row r="117" ht="15.75" customHeight="1">
      <c r="A117" s="3">
        <v>45.0</v>
      </c>
      <c r="B117" s="10" t="s">
        <v>55</v>
      </c>
      <c r="C117" s="10" t="s">
        <v>11</v>
      </c>
      <c r="D117" s="10" t="s">
        <v>14</v>
      </c>
      <c r="E117" s="3">
        <v>8.0</v>
      </c>
      <c r="F117" s="3">
        <v>7.0</v>
      </c>
      <c r="G117" s="7">
        <v>3.0</v>
      </c>
      <c r="H117" s="3">
        <v>1.0</v>
      </c>
      <c r="I117" s="11">
        <f t="shared" si="1"/>
        <v>15</v>
      </c>
      <c r="J117" s="3">
        <v>80.0</v>
      </c>
      <c r="K117" s="33">
        <v>13.0</v>
      </c>
      <c r="L117" s="33">
        <v>165.0</v>
      </c>
    </row>
    <row r="118" ht="15.75" customHeight="1">
      <c r="A118" s="3">
        <v>64.0</v>
      </c>
      <c r="B118" s="10" t="s">
        <v>34</v>
      </c>
      <c r="C118" s="10" t="s">
        <v>13</v>
      </c>
      <c r="D118" s="10" t="s">
        <v>14</v>
      </c>
      <c r="E118" s="3">
        <v>8.0</v>
      </c>
      <c r="F118" s="3">
        <v>7.0</v>
      </c>
      <c r="G118" s="7">
        <v>2.0</v>
      </c>
      <c r="H118" s="3">
        <v>1.0</v>
      </c>
      <c r="I118" s="11">
        <f t="shared" si="1"/>
        <v>15</v>
      </c>
      <c r="J118" s="3">
        <v>80.0</v>
      </c>
      <c r="K118" s="33">
        <v>13.0</v>
      </c>
      <c r="L118" s="33">
        <v>175.0</v>
      </c>
    </row>
    <row r="119" ht="15.75" customHeight="1">
      <c r="A119" s="3">
        <v>86.0</v>
      </c>
      <c r="B119" s="10" t="s">
        <v>125</v>
      </c>
      <c r="C119" s="10" t="s">
        <v>11</v>
      </c>
      <c r="D119" s="10" t="s">
        <v>14</v>
      </c>
      <c r="E119" s="3">
        <v>8.0</v>
      </c>
      <c r="F119" s="3">
        <v>7.0</v>
      </c>
      <c r="G119" s="7">
        <v>5.0</v>
      </c>
      <c r="H119" s="3">
        <v>1.0</v>
      </c>
      <c r="I119" s="11">
        <f t="shared" si="1"/>
        <v>15</v>
      </c>
      <c r="J119" s="3">
        <v>80.0</v>
      </c>
      <c r="K119" s="33">
        <v>18.0</v>
      </c>
      <c r="L119" s="33">
        <v>150.0</v>
      </c>
    </row>
    <row r="120" ht="15.75" customHeight="1">
      <c r="A120" s="3">
        <v>22.0</v>
      </c>
      <c r="B120" s="10" t="s">
        <v>146</v>
      </c>
      <c r="C120" s="10" t="s">
        <v>11</v>
      </c>
      <c r="D120" s="10" t="s">
        <v>14</v>
      </c>
      <c r="E120" s="3">
        <v>9.0</v>
      </c>
      <c r="F120" s="3">
        <v>6.0</v>
      </c>
      <c r="G120" s="7">
        <v>6.0</v>
      </c>
      <c r="H120" s="3">
        <v>1.0</v>
      </c>
      <c r="I120" s="11">
        <f t="shared" si="1"/>
        <v>15</v>
      </c>
      <c r="J120" s="3">
        <v>80.0</v>
      </c>
    </row>
    <row r="121" ht="15.75" customHeight="1">
      <c r="A121" s="3">
        <v>60.0</v>
      </c>
      <c r="B121" s="10" t="s">
        <v>151</v>
      </c>
      <c r="C121" s="10" t="s">
        <v>11</v>
      </c>
      <c r="D121" s="10" t="s">
        <v>14</v>
      </c>
      <c r="E121" s="3">
        <v>8.0</v>
      </c>
      <c r="F121" s="3">
        <v>7.0</v>
      </c>
      <c r="G121" s="7">
        <v>6.0</v>
      </c>
      <c r="H121" s="3">
        <v>-1.0</v>
      </c>
      <c r="I121" s="11">
        <f t="shared" si="1"/>
        <v>15</v>
      </c>
      <c r="J121" s="3">
        <v>80.0</v>
      </c>
    </row>
    <row r="122" ht="15.75" customHeight="1">
      <c r="A122" s="3">
        <v>67.0</v>
      </c>
      <c r="B122" s="10" t="s">
        <v>123</v>
      </c>
      <c r="C122" s="10" t="s">
        <v>11</v>
      </c>
      <c r="D122" s="10" t="s">
        <v>14</v>
      </c>
      <c r="E122" s="3">
        <v>7.0</v>
      </c>
      <c r="F122" s="3">
        <v>8.0</v>
      </c>
      <c r="G122" s="7">
        <v>5.0</v>
      </c>
      <c r="H122" s="3">
        <v>1.0</v>
      </c>
      <c r="I122" s="11">
        <f t="shared" si="1"/>
        <v>15</v>
      </c>
      <c r="J122" s="3">
        <v>80.0</v>
      </c>
    </row>
    <row r="123" ht="15.75" customHeight="1">
      <c r="A123" s="3">
        <v>70.0</v>
      </c>
      <c r="B123" s="10" t="s">
        <v>88</v>
      </c>
      <c r="C123" s="10" t="s">
        <v>11</v>
      </c>
      <c r="D123" s="10" t="s">
        <v>14</v>
      </c>
      <c r="E123" s="3">
        <v>8.0</v>
      </c>
      <c r="F123" s="3">
        <v>7.0</v>
      </c>
      <c r="G123" s="7">
        <v>4.0</v>
      </c>
      <c r="H123" s="3">
        <v>-1.0</v>
      </c>
      <c r="I123" s="11">
        <f t="shared" si="1"/>
        <v>15</v>
      </c>
      <c r="J123" s="3">
        <v>80.0</v>
      </c>
    </row>
    <row r="124" ht="15.75" customHeight="1">
      <c r="A124" s="3">
        <v>83.0</v>
      </c>
      <c r="B124" s="10" t="s">
        <v>36</v>
      </c>
      <c r="C124" s="10" t="s">
        <v>11</v>
      </c>
      <c r="D124" s="10" t="s">
        <v>14</v>
      </c>
      <c r="E124" s="3">
        <v>7.0</v>
      </c>
      <c r="F124" s="3">
        <v>8.0</v>
      </c>
      <c r="G124" s="7">
        <v>2.0</v>
      </c>
      <c r="H124" s="3">
        <v>1.0</v>
      </c>
      <c r="I124" s="11">
        <f t="shared" si="1"/>
        <v>15</v>
      </c>
      <c r="J124" s="3">
        <v>80.0</v>
      </c>
    </row>
    <row r="125" ht="15.75" customHeight="1">
      <c r="A125" s="3">
        <v>122.0</v>
      </c>
      <c r="B125" s="10" t="s">
        <v>166</v>
      </c>
      <c r="C125" s="10" t="s">
        <v>11</v>
      </c>
      <c r="D125" s="10" t="s">
        <v>14</v>
      </c>
      <c r="E125" s="3">
        <v>7.0</v>
      </c>
      <c r="F125" s="3">
        <v>8.0</v>
      </c>
      <c r="G125" s="7">
        <v>7.0</v>
      </c>
      <c r="H125" s="3">
        <v>1.0</v>
      </c>
      <c r="I125" s="11">
        <f t="shared" si="1"/>
        <v>15</v>
      </c>
      <c r="J125" s="3">
        <v>80.0</v>
      </c>
    </row>
    <row r="126" ht="15.75" customHeight="1">
      <c r="A126" s="3">
        <v>146.0</v>
      </c>
      <c r="B126" s="10" t="s">
        <v>137</v>
      </c>
      <c r="C126" s="10" t="s">
        <v>11</v>
      </c>
      <c r="D126" s="10" t="s">
        <v>14</v>
      </c>
      <c r="E126" s="3">
        <v>7.0</v>
      </c>
      <c r="F126" s="3">
        <v>8.0</v>
      </c>
      <c r="G126" s="7">
        <v>5.0</v>
      </c>
      <c r="H126" s="3">
        <v>1.0</v>
      </c>
      <c r="I126" s="11">
        <f t="shared" si="1"/>
        <v>15</v>
      </c>
      <c r="J126" s="3">
        <v>100.0</v>
      </c>
    </row>
    <row r="127" ht="15.75" customHeight="1">
      <c r="A127" s="3">
        <v>151.0</v>
      </c>
      <c r="B127" s="10" t="s">
        <v>72</v>
      </c>
      <c r="C127" s="10" t="s">
        <v>11</v>
      </c>
      <c r="D127" s="10" t="s">
        <v>14</v>
      </c>
      <c r="E127" s="3">
        <v>9.0</v>
      </c>
      <c r="F127" s="3">
        <v>6.0</v>
      </c>
      <c r="G127" s="7">
        <v>3.0</v>
      </c>
      <c r="H127" s="3">
        <v>1.0</v>
      </c>
      <c r="I127" s="11">
        <f t="shared" si="1"/>
        <v>15</v>
      </c>
      <c r="J127" s="3">
        <v>80.0</v>
      </c>
    </row>
    <row r="128" ht="15.75" customHeight="1">
      <c r="A128" s="3">
        <v>62.0</v>
      </c>
      <c r="B128" s="10" t="s">
        <v>32</v>
      </c>
      <c r="C128" s="10" t="s">
        <v>13</v>
      </c>
      <c r="D128" s="10" t="s">
        <v>14</v>
      </c>
      <c r="E128" s="3">
        <v>8.0</v>
      </c>
      <c r="F128" s="3">
        <v>7.0</v>
      </c>
      <c r="G128" s="7">
        <v>2.0</v>
      </c>
      <c r="H128" s="3">
        <v>-1.0</v>
      </c>
      <c r="I128" s="11">
        <f t="shared" si="1"/>
        <v>15</v>
      </c>
      <c r="J128" s="3">
        <v>80.0</v>
      </c>
    </row>
    <row r="129" ht="15.75" customHeight="1">
      <c r="A129" s="3">
        <v>74.0</v>
      </c>
      <c r="B129" s="10" t="s">
        <v>90</v>
      </c>
      <c r="C129" s="10" t="s">
        <v>13</v>
      </c>
      <c r="D129" s="10" t="s">
        <v>14</v>
      </c>
      <c r="E129" s="3">
        <v>9.0</v>
      </c>
      <c r="F129" s="3">
        <v>6.0</v>
      </c>
      <c r="G129" s="7">
        <v>4.0</v>
      </c>
      <c r="H129" s="3">
        <v>-1.0</v>
      </c>
      <c r="I129" s="11">
        <f t="shared" si="1"/>
        <v>15</v>
      </c>
      <c r="J129" s="3">
        <v>100.0</v>
      </c>
    </row>
    <row r="130" ht="15.75" customHeight="1">
      <c r="A130" s="3">
        <v>78.0</v>
      </c>
      <c r="B130" s="10" t="s">
        <v>91</v>
      </c>
      <c r="C130" s="10" t="s">
        <v>13</v>
      </c>
      <c r="D130" s="10" t="s">
        <v>14</v>
      </c>
      <c r="E130" s="3">
        <v>7.0</v>
      </c>
      <c r="F130" s="3">
        <v>8.0</v>
      </c>
      <c r="G130" s="7">
        <v>4.0</v>
      </c>
      <c r="H130" s="3">
        <v>1.0</v>
      </c>
      <c r="I130" s="11">
        <f t="shared" si="1"/>
        <v>15</v>
      </c>
      <c r="J130" s="3">
        <v>80.0</v>
      </c>
    </row>
    <row r="131" ht="15.75" customHeight="1">
      <c r="A131" s="3">
        <v>12.0</v>
      </c>
      <c r="B131" s="10" t="s">
        <v>26</v>
      </c>
      <c r="C131" s="10" t="s">
        <v>13</v>
      </c>
      <c r="D131" s="10" t="s">
        <v>14</v>
      </c>
      <c r="E131" s="3">
        <v>8.0</v>
      </c>
      <c r="F131" s="3">
        <v>8.0</v>
      </c>
      <c r="G131" s="7">
        <v>2.0</v>
      </c>
      <c r="H131" s="3">
        <v>1.0</v>
      </c>
      <c r="I131" s="11">
        <f t="shared" si="1"/>
        <v>16</v>
      </c>
      <c r="J131" s="3">
        <v>100.0</v>
      </c>
      <c r="K131" s="33">
        <v>1.0</v>
      </c>
      <c r="L131" s="33">
        <v>175.0</v>
      </c>
    </row>
    <row r="132" ht="17.25" customHeight="1">
      <c r="A132" s="3">
        <v>51.0</v>
      </c>
      <c r="B132" s="10" t="s">
        <v>30</v>
      </c>
      <c r="C132" s="10" t="s">
        <v>13</v>
      </c>
      <c r="D132" s="10" t="s">
        <v>14</v>
      </c>
      <c r="E132" s="3">
        <v>8.0</v>
      </c>
      <c r="F132" s="3">
        <v>8.0</v>
      </c>
      <c r="G132" s="7">
        <v>2.0</v>
      </c>
      <c r="H132" s="3">
        <v>1.0</v>
      </c>
      <c r="I132" s="11">
        <f t="shared" si="1"/>
        <v>16</v>
      </c>
      <c r="J132" s="3">
        <v>100.0</v>
      </c>
      <c r="K132" s="33">
        <v>9.0</v>
      </c>
      <c r="L132" s="33">
        <v>140.0</v>
      </c>
      <c r="M132" s="34">
        <f>L132/I132</f>
        <v>8.75</v>
      </c>
    </row>
    <row r="133" ht="15.75" customHeight="1">
      <c r="A133" s="3">
        <v>38.0</v>
      </c>
      <c r="B133" s="10" t="s">
        <v>84</v>
      </c>
      <c r="C133" s="10" t="s">
        <v>11</v>
      </c>
      <c r="D133" s="10" t="s">
        <v>14</v>
      </c>
      <c r="E133" s="3">
        <v>8.0</v>
      </c>
      <c r="F133" s="3">
        <v>8.0</v>
      </c>
      <c r="G133" s="7">
        <v>4.0</v>
      </c>
      <c r="H133" s="3">
        <v>-1.0</v>
      </c>
      <c r="I133" s="11">
        <f t="shared" si="1"/>
        <v>16</v>
      </c>
      <c r="J133" s="3">
        <v>100.0</v>
      </c>
      <c r="K133" s="33">
        <v>10.0</v>
      </c>
      <c r="L133" s="33">
        <v>180.0</v>
      </c>
    </row>
    <row r="134" ht="15.75" customHeight="1">
      <c r="A134" s="3">
        <v>91.0</v>
      </c>
      <c r="B134" s="10" t="s">
        <v>153</v>
      </c>
      <c r="C134" s="10" t="s">
        <v>11</v>
      </c>
      <c r="D134" s="10" t="s">
        <v>14</v>
      </c>
      <c r="E134" s="3">
        <v>8.0</v>
      </c>
      <c r="F134" s="3">
        <v>8.0</v>
      </c>
      <c r="G134" s="7">
        <v>6.0</v>
      </c>
      <c r="H134" s="3">
        <v>1.0</v>
      </c>
      <c r="I134" s="11">
        <f t="shared" si="1"/>
        <v>16</v>
      </c>
      <c r="J134" s="3">
        <v>100.0</v>
      </c>
      <c r="K134" s="33">
        <v>15.0</v>
      </c>
      <c r="L134" s="33">
        <v>150.0</v>
      </c>
    </row>
    <row r="135" ht="15.75" customHeight="1">
      <c r="A135" s="3">
        <v>101.0</v>
      </c>
      <c r="B135" s="10" t="s">
        <v>110</v>
      </c>
      <c r="C135" s="10" t="s">
        <v>11</v>
      </c>
      <c r="D135" s="10" t="s">
        <v>11</v>
      </c>
      <c r="E135" s="3">
        <v>8.0</v>
      </c>
      <c r="F135" s="3">
        <v>8.0</v>
      </c>
      <c r="G135" s="7">
        <v>5.0</v>
      </c>
      <c r="H135" s="3">
        <v>1.0</v>
      </c>
      <c r="I135" s="11">
        <f t="shared" si="1"/>
        <v>16</v>
      </c>
      <c r="J135" s="3">
        <v>100.0</v>
      </c>
      <c r="K135" s="33">
        <v>16.0</v>
      </c>
    </row>
    <row r="136" ht="15.75" customHeight="1">
      <c r="A136" s="3">
        <v>37.0</v>
      </c>
      <c r="B136" s="10" t="s">
        <v>10</v>
      </c>
      <c r="C136" s="10" t="s">
        <v>11</v>
      </c>
      <c r="D136" s="10" t="s">
        <v>11</v>
      </c>
      <c r="E136" s="3">
        <v>8.0</v>
      </c>
      <c r="F136" s="3">
        <v>8.0</v>
      </c>
      <c r="G136" s="7">
        <v>1.0</v>
      </c>
      <c r="H136" s="3">
        <v>-1.0</v>
      </c>
      <c r="I136" s="11">
        <f t="shared" si="1"/>
        <v>16</v>
      </c>
      <c r="J136" s="3">
        <v>100.0</v>
      </c>
      <c r="K136" s="33">
        <v>18.0</v>
      </c>
      <c r="L136" s="33">
        <v>195.0</v>
      </c>
    </row>
    <row r="137" ht="15.75" customHeight="1">
      <c r="A137" s="3">
        <v>155.0</v>
      </c>
      <c r="B137" s="10" t="s">
        <v>105</v>
      </c>
      <c r="C137" s="10" t="s">
        <v>11</v>
      </c>
      <c r="D137" s="10" t="s">
        <v>14</v>
      </c>
      <c r="E137" s="3">
        <v>8.0</v>
      </c>
      <c r="F137" s="3">
        <v>8.0</v>
      </c>
      <c r="G137" s="7">
        <v>4.0</v>
      </c>
      <c r="H137" s="3">
        <v>-1.0</v>
      </c>
      <c r="I137" s="11">
        <f t="shared" si="1"/>
        <v>16</v>
      </c>
      <c r="J137" s="3">
        <v>100.0</v>
      </c>
      <c r="K137" s="33">
        <v>20.0</v>
      </c>
      <c r="L137" s="33">
        <v>185.0</v>
      </c>
    </row>
    <row r="138" ht="15.75" customHeight="1">
      <c r="A138" s="3">
        <v>121.0</v>
      </c>
      <c r="B138" s="20" t="s">
        <v>165</v>
      </c>
      <c r="C138" s="10" t="s">
        <v>11</v>
      </c>
      <c r="D138" s="10" t="s">
        <v>14</v>
      </c>
      <c r="E138" s="3">
        <v>8.0</v>
      </c>
      <c r="F138" s="3">
        <v>8.0</v>
      </c>
      <c r="G138" s="7">
        <v>7.0</v>
      </c>
      <c r="H138" s="3">
        <v>-1.0</v>
      </c>
      <c r="I138" s="11">
        <f t="shared" si="1"/>
        <v>16</v>
      </c>
      <c r="J138" s="3">
        <v>100.0</v>
      </c>
      <c r="K138" s="33" t="s">
        <v>181</v>
      </c>
    </row>
    <row r="139" ht="15.75" customHeight="1">
      <c r="A139" s="3">
        <v>18.0</v>
      </c>
      <c r="B139" s="10" t="s">
        <v>145</v>
      </c>
      <c r="C139" s="10" t="s">
        <v>11</v>
      </c>
      <c r="D139" s="10" t="s">
        <v>14</v>
      </c>
      <c r="E139" s="3">
        <v>8.0</v>
      </c>
      <c r="F139" s="3">
        <v>8.0</v>
      </c>
      <c r="G139" s="7">
        <v>6.0</v>
      </c>
      <c r="H139" s="3">
        <v>-1.0</v>
      </c>
      <c r="I139" s="11">
        <f t="shared" si="1"/>
        <v>16</v>
      </c>
      <c r="J139" s="3">
        <v>100.0</v>
      </c>
    </row>
    <row r="140" ht="15.75" customHeight="1">
      <c r="A140" s="3">
        <v>33.0</v>
      </c>
      <c r="B140" s="10" t="s">
        <v>50</v>
      </c>
      <c r="C140" s="10" t="s">
        <v>11</v>
      </c>
      <c r="D140" s="10" t="s">
        <v>14</v>
      </c>
      <c r="E140" s="3">
        <v>8.0</v>
      </c>
      <c r="F140" s="3">
        <v>8.0</v>
      </c>
      <c r="G140" s="7">
        <v>3.0</v>
      </c>
      <c r="H140" s="3">
        <v>1.0</v>
      </c>
      <c r="I140" s="11">
        <f t="shared" si="1"/>
        <v>16</v>
      </c>
      <c r="J140" s="3">
        <v>100.0</v>
      </c>
    </row>
    <row r="141" ht="15.75" customHeight="1">
      <c r="A141" s="3">
        <v>41.0</v>
      </c>
      <c r="B141" s="10" t="s">
        <v>162</v>
      </c>
      <c r="C141" s="10" t="s">
        <v>11</v>
      </c>
      <c r="D141" s="10" t="s">
        <v>14</v>
      </c>
      <c r="E141" s="3">
        <v>8.0</v>
      </c>
      <c r="F141" s="3">
        <v>8.0</v>
      </c>
      <c r="G141" s="7">
        <v>7.0</v>
      </c>
      <c r="H141" s="3">
        <v>1.0</v>
      </c>
      <c r="I141" s="11">
        <f t="shared" si="1"/>
        <v>16</v>
      </c>
      <c r="J141" s="3">
        <v>100.0</v>
      </c>
    </row>
    <row r="142" ht="15.75" customHeight="1">
      <c r="A142" s="3">
        <v>48.0</v>
      </c>
      <c r="B142" s="10" t="s">
        <v>118</v>
      </c>
      <c r="C142" s="10" t="s">
        <v>11</v>
      </c>
      <c r="D142" s="10" t="s">
        <v>14</v>
      </c>
      <c r="E142" s="3">
        <v>8.0</v>
      </c>
      <c r="F142" s="3">
        <v>8.0</v>
      </c>
      <c r="G142" s="7">
        <v>5.0</v>
      </c>
      <c r="H142" s="3">
        <v>-1.0</v>
      </c>
      <c r="I142" s="11">
        <f t="shared" si="1"/>
        <v>16</v>
      </c>
      <c r="J142" s="3">
        <v>100.0</v>
      </c>
    </row>
    <row r="143" ht="15.75" customHeight="1">
      <c r="A143" s="3">
        <v>124.0</v>
      </c>
      <c r="B143" s="10" t="s">
        <v>102</v>
      </c>
      <c r="C143" s="10" t="s">
        <v>11</v>
      </c>
      <c r="D143" s="10" t="s">
        <v>14</v>
      </c>
      <c r="E143" s="3">
        <v>8.0</v>
      </c>
      <c r="F143" s="3">
        <v>8.0</v>
      </c>
      <c r="G143" s="7">
        <v>4.0</v>
      </c>
      <c r="H143" s="3">
        <v>1.0</v>
      </c>
      <c r="I143" s="11">
        <f t="shared" si="1"/>
        <v>16</v>
      </c>
      <c r="J143" s="3">
        <v>100.0</v>
      </c>
    </row>
    <row r="144" ht="15.75" customHeight="1">
      <c r="A144" s="3">
        <v>1.0</v>
      </c>
      <c r="B144" s="10" t="s">
        <v>12</v>
      </c>
      <c r="C144" s="10" t="s">
        <v>13</v>
      </c>
      <c r="D144" s="10" t="s">
        <v>14</v>
      </c>
      <c r="E144" s="3">
        <v>8.0</v>
      </c>
      <c r="F144" s="3">
        <v>8.0</v>
      </c>
      <c r="G144" s="7">
        <v>1.0</v>
      </c>
      <c r="H144" s="3">
        <v>-1.0</v>
      </c>
      <c r="I144" s="11">
        <f t="shared" si="1"/>
        <v>16</v>
      </c>
      <c r="J144" s="3">
        <v>100.0</v>
      </c>
    </row>
    <row r="145" ht="15.75" customHeight="1">
      <c r="A145" s="3">
        <v>49.0</v>
      </c>
      <c r="B145" s="10" t="s">
        <v>119</v>
      </c>
      <c r="C145" s="10" t="s">
        <v>13</v>
      </c>
      <c r="D145" s="10" t="s">
        <v>14</v>
      </c>
      <c r="E145" s="3">
        <v>8.0</v>
      </c>
      <c r="F145" s="3">
        <v>8.0</v>
      </c>
      <c r="G145" s="7">
        <v>5.0</v>
      </c>
      <c r="H145" s="3">
        <v>1.0</v>
      </c>
      <c r="I145" s="11">
        <f t="shared" si="1"/>
        <v>16</v>
      </c>
      <c r="J145" s="3">
        <v>100.0</v>
      </c>
    </row>
    <row r="146" ht="15.75" customHeight="1">
      <c r="A146" s="13">
        <v>30.0</v>
      </c>
      <c r="B146" s="12" t="s">
        <v>117</v>
      </c>
      <c r="C146" s="12" t="s">
        <v>13</v>
      </c>
      <c r="D146" s="12" t="s">
        <v>14</v>
      </c>
      <c r="E146" s="13">
        <v>9.0</v>
      </c>
      <c r="F146" s="13">
        <v>8.0</v>
      </c>
      <c r="G146" s="7">
        <v>5.0</v>
      </c>
      <c r="H146" s="13">
        <v>1.0</v>
      </c>
      <c r="I146" s="14">
        <f t="shared" si="1"/>
        <v>17</v>
      </c>
      <c r="J146" s="13">
        <v>120.0</v>
      </c>
      <c r="K146" s="35">
        <v>9.0</v>
      </c>
      <c r="L146" s="35">
        <v>185.0</v>
      </c>
      <c r="M146" s="35">
        <f>185/17</f>
        <v>10.88235294</v>
      </c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</row>
    <row r="147" ht="15.75" customHeight="1">
      <c r="A147" s="3">
        <v>28.0</v>
      </c>
      <c r="B147" s="10" t="s">
        <v>147</v>
      </c>
      <c r="C147" s="10" t="s">
        <v>11</v>
      </c>
      <c r="D147" s="10" t="s">
        <v>14</v>
      </c>
      <c r="E147" s="3">
        <v>8.0</v>
      </c>
      <c r="F147" s="3">
        <v>9.0</v>
      </c>
      <c r="G147" s="7">
        <v>6.0</v>
      </c>
      <c r="H147" s="3">
        <v>1.0</v>
      </c>
      <c r="I147" s="11">
        <f t="shared" si="1"/>
        <v>17</v>
      </c>
      <c r="J147" s="3">
        <v>100.0</v>
      </c>
      <c r="K147" s="33">
        <v>16.0</v>
      </c>
      <c r="L147" s="33">
        <v>175.0</v>
      </c>
    </row>
    <row r="148" ht="15.75" customHeight="1">
      <c r="A148" s="3">
        <v>57.0</v>
      </c>
      <c r="B148" s="10" t="s">
        <v>164</v>
      </c>
      <c r="C148" s="10" t="s">
        <v>11</v>
      </c>
      <c r="D148" s="10" t="s">
        <v>14</v>
      </c>
      <c r="E148" s="3">
        <v>8.0</v>
      </c>
      <c r="F148" s="3">
        <v>9.0</v>
      </c>
      <c r="G148" s="7">
        <v>7.0</v>
      </c>
      <c r="H148" s="3">
        <v>-1.0</v>
      </c>
      <c r="I148" s="11">
        <f t="shared" si="1"/>
        <v>17</v>
      </c>
      <c r="J148" s="3">
        <v>100.0</v>
      </c>
    </row>
    <row r="149" ht="15.75" customHeight="1">
      <c r="A149" s="3">
        <v>90.0</v>
      </c>
      <c r="B149" s="10" t="s">
        <v>170</v>
      </c>
      <c r="C149" s="10" t="s">
        <v>11</v>
      </c>
      <c r="D149" s="10" t="s">
        <v>14</v>
      </c>
      <c r="E149" s="3">
        <v>9.0</v>
      </c>
      <c r="F149" s="3">
        <v>8.0</v>
      </c>
      <c r="G149" s="7">
        <v>8.0</v>
      </c>
      <c r="H149" s="3">
        <v>1.0</v>
      </c>
      <c r="I149" s="11">
        <f t="shared" si="1"/>
        <v>17</v>
      </c>
      <c r="J149" s="3">
        <v>100.0</v>
      </c>
    </row>
    <row r="150" ht="15.75" customHeight="1">
      <c r="A150" s="3">
        <v>99.0</v>
      </c>
      <c r="B150" s="10" t="s">
        <v>157</v>
      </c>
      <c r="C150" s="10" t="s">
        <v>11</v>
      </c>
      <c r="D150" s="10" t="s">
        <v>14</v>
      </c>
      <c r="E150" s="3">
        <v>9.0</v>
      </c>
      <c r="F150" s="3">
        <v>8.0</v>
      </c>
      <c r="G150" s="7">
        <v>6.0</v>
      </c>
      <c r="H150" s="3">
        <v>1.0</v>
      </c>
      <c r="I150" s="11">
        <f t="shared" si="1"/>
        <v>17</v>
      </c>
      <c r="J150" s="3">
        <v>100.0</v>
      </c>
    </row>
    <row r="151" ht="15.75" customHeight="1">
      <c r="A151" s="3">
        <v>153.0</v>
      </c>
      <c r="B151" s="10" t="s">
        <v>21</v>
      </c>
      <c r="C151" s="10" t="s">
        <v>11</v>
      </c>
      <c r="D151" s="10" t="s">
        <v>14</v>
      </c>
      <c r="E151" s="3">
        <v>10.0</v>
      </c>
      <c r="F151" s="3">
        <v>7.0</v>
      </c>
      <c r="G151" s="7">
        <v>1.0</v>
      </c>
      <c r="H151" s="3">
        <v>-1.0</v>
      </c>
      <c r="I151" s="11">
        <f t="shared" si="1"/>
        <v>17</v>
      </c>
      <c r="J151" s="3">
        <v>100.0</v>
      </c>
    </row>
    <row r="152" ht="15.75" customHeight="1">
      <c r="A152" s="3">
        <v>71.0</v>
      </c>
      <c r="B152" s="10" t="s">
        <v>142</v>
      </c>
      <c r="C152" s="10" t="s">
        <v>13</v>
      </c>
      <c r="D152" s="10" t="s">
        <v>11</v>
      </c>
      <c r="E152" s="3">
        <v>9.0</v>
      </c>
      <c r="F152" s="3">
        <v>8.0</v>
      </c>
      <c r="G152" s="7">
        <v>6.0</v>
      </c>
      <c r="H152" s="3">
        <v>1.0</v>
      </c>
      <c r="I152" s="11">
        <f t="shared" si="1"/>
        <v>17</v>
      </c>
      <c r="J152" s="3">
        <v>120.0</v>
      </c>
    </row>
    <row r="153" ht="15.75" customHeight="1">
      <c r="A153" s="3">
        <v>88.0</v>
      </c>
      <c r="B153" s="10" t="s">
        <v>169</v>
      </c>
      <c r="C153" s="10" t="s">
        <v>11</v>
      </c>
      <c r="D153" s="10" t="s">
        <v>14</v>
      </c>
      <c r="E153" s="3">
        <v>10.0</v>
      </c>
      <c r="F153" s="3">
        <v>8.0</v>
      </c>
      <c r="G153" s="7">
        <v>8.0</v>
      </c>
      <c r="H153" s="3">
        <v>-1.0</v>
      </c>
      <c r="I153" s="11">
        <f t="shared" si="1"/>
        <v>18</v>
      </c>
      <c r="J153" s="3">
        <v>120.0</v>
      </c>
      <c r="K153" s="33">
        <v>20.0</v>
      </c>
      <c r="L153" s="33">
        <v>175.0</v>
      </c>
    </row>
    <row r="154" ht="15.75" customHeight="1">
      <c r="A154" s="3">
        <v>2.0</v>
      </c>
      <c r="B154" s="10" t="s">
        <v>15</v>
      </c>
      <c r="C154" s="10" t="s">
        <v>11</v>
      </c>
      <c r="D154" s="10" t="s">
        <v>14</v>
      </c>
      <c r="E154" s="3">
        <v>9.0</v>
      </c>
      <c r="F154" s="3">
        <v>9.0</v>
      </c>
      <c r="G154" s="7">
        <v>1.0</v>
      </c>
      <c r="H154" s="3">
        <v>-1.0</v>
      </c>
      <c r="I154" s="11">
        <f t="shared" si="1"/>
        <v>18</v>
      </c>
      <c r="J154" s="3">
        <v>120.0</v>
      </c>
    </row>
    <row r="155" ht="15.75" customHeight="1">
      <c r="A155" s="3">
        <v>20.0</v>
      </c>
      <c r="B155" s="10" t="s">
        <v>116</v>
      </c>
      <c r="C155" s="10" t="s">
        <v>11</v>
      </c>
      <c r="D155" s="10" t="s">
        <v>14</v>
      </c>
      <c r="E155" s="3">
        <v>9.0</v>
      </c>
      <c r="F155" s="3">
        <v>9.0</v>
      </c>
      <c r="G155" s="7">
        <v>5.0</v>
      </c>
      <c r="H155" s="3">
        <v>1.0</v>
      </c>
      <c r="I155" s="11">
        <f t="shared" si="1"/>
        <v>18</v>
      </c>
      <c r="J155" s="3">
        <v>120.0</v>
      </c>
    </row>
    <row r="156" ht="15.75" customHeight="1">
      <c r="A156" s="3">
        <v>149.0</v>
      </c>
      <c r="B156" s="10" t="s">
        <v>138</v>
      </c>
      <c r="C156" s="10" t="s">
        <v>11</v>
      </c>
      <c r="D156" s="10" t="s">
        <v>14</v>
      </c>
      <c r="E156" s="3">
        <v>10.0</v>
      </c>
      <c r="F156" s="3">
        <v>8.0</v>
      </c>
      <c r="G156" s="7">
        <v>5.0</v>
      </c>
      <c r="H156" s="3">
        <v>1.0</v>
      </c>
      <c r="I156" s="11">
        <f t="shared" si="1"/>
        <v>18</v>
      </c>
      <c r="J156" s="3">
        <v>100.0</v>
      </c>
    </row>
    <row r="157" ht="15.75" customHeight="1">
      <c r="A157" s="3">
        <v>136.0</v>
      </c>
      <c r="B157" s="10" t="s">
        <v>133</v>
      </c>
      <c r="C157" s="10" t="s">
        <v>13</v>
      </c>
      <c r="D157" s="10" t="s">
        <v>14</v>
      </c>
      <c r="E157" s="3">
        <v>9.0</v>
      </c>
      <c r="F157" s="3">
        <v>9.0</v>
      </c>
      <c r="G157" s="7">
        <v>5.0</v>
      </c>
      <c r="H157" s="3">
        <v>1.0</v>
      </c>
      <c r="I157" s="11">
        <f t="shared" si="1"/>
        <v>18</v>
      </c>
      <c r="J157" s="3">
        <v>120.0</v>
      </c>
    </row>
    <row r="158" ht="15.75" customHeight="1">
      <c r="A158" s="3">
        <v>141.0</v>
      </c>
      <c r="B158" s="10" t="s">
        <v>20</v>
      </c>
      <c r="C158" s="10" t="s">
        <v>11</v>
      </c>
      <c r="D158" s="10" t="s">
        <v>14</v>
      </c>
      <c r="E158" s="3">
        <v>10.0</v>
      </c>
      <c r="F158" s="3">
        <v>9.0</v>
      </c>
      <c r="G158" s="7">
        <v>1.0</v>
      </c>
      <c r="H158" s="3">
        <v>1.0</v>
      </c>
      <c r="I158" s="11">
        <f t="shared" si="1"/>
        <v>19</v>
      </c>
      <c r="J158" s="3">
        <v>120.0</v>
      </c>
      <c r="K158" s="33">
        <v>12.0</v>
      </c>
      <c r="L158" s="33">
        <v>210.0</v>
      </c>
    </row>
    <row r="159" ht="15.75" customHeight="1">
      <c r="A159" s="3">
        <v>119.0</v>
      </c>
      <c r="B159" s="10" t="s">
        <v>38</v>
      </c>
      <c r="C159" s="10" t="s">
        <v>13</v>
      </c>
      <c r="D159" s="10" t="s">
        <v>14</v>
      </c>
      <c r="E159" s="3">
        <v>10.0</v>
      </c>
      <c r="F159" s="3">
        <v>10.0</v>
      </c>
      <c r="G159" s="7">
        <v>2.0</v>
      </c>
      <c r="H159" s="3">
        <v>-1.0</v>
      </c>
      <c r="I159" s="11">
        <f t="shared" si="1"/>
        <v>20</v>
      </c>
      <c r="J159" s="3">
        <v>120.0</v>
      </c>
      <c r="K159" s="33">
        <v>10.0</v>
      </c>
      <c r="L159" s="33">
        <v>195.0</v>
      </c>
    </row>
    <row r="160" ht="15.75" customHeight="1">
      <c r="A160" s="3">
        <v>125.0</v>
      </c>
      <c r="B160" s="10" t="s">
        <v>172</v>
      </c>
      <c r="C160" s="10" t="s">
        <v>11</v>
      </c>
      <c r="D160" s="10" t="s">
        <v>14</v>
      </c>
      <c r="E160" s="3">
        <v>10.0</v>
      </c>
      <c r="F160" s="3">
        <v>10.0</v>
      </c>
      <c r="G160" s="7">
        <v>9.0</v>
      </c>
      <c r="H160" s="3">
        <v>1.0</v>
      </c>
      <c r="I160" s="11">
        <f t="shared" si="1"/>
        <v>20</v>
      </c>
      <c r="J160" s="3">
        <v>120.0</v>
      </c>
    </row>
    <row r="161" ht="15.75" customHeight="1">
      <c r="A161" s="1" t="s">
        <v>0</v>
      </c>
      <c r="B161" s="1" t="s">
        <v>1</v>
      </c>
      <c r="C161" s="1" t="s">
        <v>2</v>
      </c>
      <c r="D161" s="1" t="s">
        <v>3</v>
      </c>
      <c r="E161" s="1" t="s">
        <v>4</v>
      </c>
      <c r="F161" s="1" t="s">
        <v>5</v>
      </c>
      <c r="G161" s="41" t="s">
        <v>6</v>
      </c>
      <c r="H161" s="1" t="s">
        <v>7</v>
      </c>
      <c r="I161" s="2" t="s">
        <v>8</v>
      </c>
      <c r="J161" s="1" t="s">
        <v>9</v>
      </c>
      <c r="K161" s="33" t="s">
        <v>173</v>
      </c>
      <c r="L161" s="33" t="s">
        <v>174</v>
      </c>
      <c r="M161" s="33" t="s">
        <v>175</v>
      </c>
    </row>
    <row r="162" ht="15.75" customHeight="1">
      <c r="B162" s="23"/>
      <c r="G162" s="30"/>
    </row>
    <row r="163" ht="15.75" customHeight="1">
      <c r="G163" s="30"/>
    </row>
    <row r="164" ht="15.75" customHeight="1">
      <c r="G164" s="30"/>
    </row>
    <row r="165" ht="15.75" customHeight="1">
      <c r="G165" s="30"/>
    </row>
    <row r="166" ht="15.75" customHeight="1">
      <c r="G166" s="30"/>
    </row>
    <row r="167" ht="15.75" customHeight="1">
      <c r="G167" s="30"/>
    </row>
    <row r="168" ht="15.75" customHeight="1">
      <c r="G168" s="30"/>
    </row>
    <row r="169" ht="15.75" customHeight="1">
      <c r="G169" s="30"/>
    </row>
    <row r="170" ht="15.75" customHeight="1">
      <c r="G170" s="30"/>
    </row>
    <row r="171" ht="15.75" customHeight="1">
      <c r="G171" s="30"/>
    </row>
    <row r="172" ht="15.75" customHeight="1">
      <c r="B172" s="24"/>
      <c r="G172" s="30"/>
    </row>
    <row r="173" ht="15.75" customHeight="1">
      <c r="G173" s="30"/>
    </row>
    <row r="174" ht="15.75" customHeight="1">
      <c r="B174" s="23"/>
      <c r="G174" s="30"/>
    </row>
    <row r="175" ht="15.75" customHeight="1">
      <c r="G175" s="30"/>
    </row>
    <row r="176" ht="15.75" customHeight="1">
      <c r="G176" s="30"/>
    </row>
    <row r="177" ht="15.75" customHeight="1">
      <c r="G177" s="30"/>
    </row>
    <row r="178" ht="15.75" customHeight="1">
      <c r="G178" s="30"/>
    </row>
    <row r="179" ht="15.75" customHeight="1">
      <c r="G179" s="30"/>
    </row>
    <row r="180" ht="15.75" customHeight="1">
      <c r="G180" s="30"/>
    </row>
    <row r="181" ht="15.75" customHeight="1">
      <c r="G181" s="30"/>
    </row>
    <row r="182" ht="15.75" customHeight="1">
      <c r="G182" s="30"/>
    </row>
    <row r="183" ht="15.75" customHeight="1">
      <c r="G183" s="30"/>
    </row>
    <row r="184" ht="15.75" customHeight="1">
      <c r="G184" s="30"/>
    </row>
    <row r="185" ht="15.75" customHeight="1">
      <c r="G185" s="30"/>
    </row>
    <row r="186" ht="15.75" customHeight="1">
      <c r="G186" s="30"/>
    </row>
    <row r="187" ht="15.75" customHeight="1">
      <c r="G187" s="30"/>
    </row>
    <row r="188" ht="15.75" customHeight="1">
      <c r="G188" s="30"/>
    </row>
    <row r="189" ht="15.75" customHeight="1">
      <c r="G189" s="30"/>
    </row>
    <row r="190" ht="15.75" customHeight="1">
      <c r="G190" s="30"/>
    </row>
    <row r="191" ht="15.75" customHeight="1">
      <c r="G191" s="30"/>
    </row>
    <row r="192" ht="15.75" customHeight="1">
      <c r="G192" s="30"/>
    </row>
    <row r="193" ht="15.75" customHeight="1">
      <c r="G193" s="30"/>
    </row>
    <row r="194" ht="15.75" customHeight="1">
      <c r="G194" s="30"/>
    </row>
    <row r="195" ht="15.75" customHeight="1">
      <c r="G195" s="30"/>
    </row>
    <row r="196" ht="15.75" customHeight="1">
      <c r="G196" s="30"/>
    </row>
    <row r="197" ht="15.75" customHeight="1">
      <c r="G197" s="30"/>
    </row>
    <row r="198" ht="15.75" customHeight="1">
      <c r="G198" s="30"/>
    </row>
    <row r="199" ht="15.75" customHeight="1">
      <c r="G199" s="30"/>
    </row>
    <row r="200" ht="15.75" customHeight="1">
      <c r="G200" s="30"/>
    </row>
    <row r="201" ht="15.75" customHeight="1">
      <c r="G201" s="30"/>
    </row>
    <row r="202" ht="15.75" customHeight="1">
      <c r="G202" s="30"/>
    </row>
    <row r="203" ht="15.75" customHeight="1">
      <c r="G203" s="30"/>
    </row>
    <row r="204" ht="15.75" customHeight="1">
      <c r="G204" s="30"/>
    </row>
    <row r="205" ht="15.75" customHeight="1">
      <c r="G205" s="30"/>
    </row>
    <row r="206" ht="15.75" customHeight="1">
      <c r="G206" s="30"/>
    </row>
    <row r="207" ht="15.75" customHeight="1">
      <c r="G207" s="30"/>
    </row>
    <row r="208" ht="15.75" customHeight="1">
      <c r="G208" s="30"/>
    </row>
    <row r="209" ht="15.75" customHeight="1">
      <c r="G209" s="30"/>
    </row>
    <row r="210" ht="15.75" customHeight="1">
      <c r="G210" s="30"/>
    </row>
    <row r="211" ht="15.75" customHeight="1">
      <c r="G211" s="30"/>
    </row>
    <row r="212" ht="15.75" customHeight="1">
      <c r="G212" s="30"/>
    </row>
    <row r="213" ht="15.75" customHeight="1">
      <c r="G213" s="30"/>
    </row>
    <row r="214" ht="15.75" customHeight="1">
      <c r="G214" s="30"/>
    </row>
    <row r="215" ht="15.75" customHeight="1">
      <c r="G215" s="30"/>
    </row>
    <row r="216" ht="15.75" customHeight="1">
      <c r="G216" s="30"/>
    </row>
    <row r="217" ht="15.75" customHeight="1">
      <c r="G217" s="30"/>
    </row>
    <row r="218" ht="15.75" customHeight="1">
      <c r="G218" s="30"/>
    </row>
    <row r="219" ht="15.75" customHeight="1">
      <c r="G219" s="30"/>
    </row>
    <row r="220" ht="15.75" customHeight="1">
      <c r="G220" s="30"/>
    </row>
    <row r="221" ht="15.75" customHeight="1">
      <c r="G221" s="30"/>
    </row>
    <row r="222" ht="15.75" customHeight="1">
      <c r="G222" s="30"/>
    </row>
    <row r="223" ht="15.75" customHeight="1">
      <c r="G223" s="30"/>
    </row>
    <row r="224" ht="15.75" customHeight="1">
      <c r="G224" s="30"/>
    </row>
    <row r="225" ht="15.75" customHeight="1">
      <c r="G225" s="30"/>
    </row>
    <row r="226" ht="15.75" customHeight="1">
      <c r="G226" s="30"/>
    </row>
    <row r="227" ht="15.75" customHeight="1">
      <c r="G227" s="30"/>
    </row>
    <row r="228" ht="15.75" customHeight="1">
      <c r="G228" s="30"/>
    </row>
    <row r="229" ht="15.75" customHeight="1">
      <c r="G229" s="30"/>
    </row>
    <row r="230" ht="15.75" customHeight="1">
      <c r="G230" s="30"/>
    </row>
    <row r="231" ht="15.75" customHeight="1">
      <c r="G231" s="30"/>
    </row>
    <row r="232" ht="15.75" customHeight="1">
      <c r="G232" s="30"/>
    </row>
    <row r="233" ht="15.75" customHeight="1">
      <c r="G233" s="30"/>
    </row>
    <row r="234" ht="15.75" customHeight="1">
      <c r="G234" s="30"/>
    </row>
    <row r="235" ht="15.75" customHeight="1">
      <c r="G235" s="30"/>
    </row>
    <row r="236" ht="15.75" customHeight="1">
      <c r="G236" s="30"/>
    </row>
    <row r="237" ht="15.75" customHeight="1">
      <c r="G237" s="30"/>
    </row>
    <row r="238" ht="15.75" customHeight="1">
      <c r="G238" s="30"/>
    </row>
    <row r="239" ht="15.75" customHeight="1">
      <c r="G239" s="30"/>
    </row>
    <row r="240" ht="15.75" customHeight="1">
      <c r="G240" s="30"/>
    </row>
    <row r="241" ht="15.75" customHeight="1">
      <c r="G241" s="30"/>
    </row>
    <row r="242" ht="15.75" customHeight="1">
      <c r="G242" s="30"/>
    </row>
    <row r="243" ht="15.75" customHeight="1">
      <c r="G243" s="30"/>
    </row>
    <row r="244" ht="15.75" customHeight="1">
      <c r="G244" s="30"/>
    </row>
    <row r="245" ht="15.75" customHeight="1">
      <c r="G245" s="30"/>
    </row>
    <row r="246" ht="15.75" customHeight="1">
      <c r="G246" s="30"/>
    </row>
    <row r="247" ht="15.75" customHeight="1">
      <c r="G247" s="30"/>
    </row>
    <row r="248" ht="15.75" customHeight="1">
      <c r="G248" s="30"/>
    </row>
    <row r="249" ht="15.75" customHeight="1">
      <c r="G249" s="30"/>
    </row>
    <row r="250" ht="15.75" customHeight="1">
      <c r="G250" s="30"/>
    </row>
    <row r="251" ht="15.75" customHeight="1">
      <c r="G251" s="30"/>
    </row>
    <row r="252" ht="15.75" customHeight="1">
      <c r="G252" s="30"/>
    </row>
    <row r="253" ht="15.75" customHeight="1">
      <c r="G253" s="30"/>
    </row>
    <row r="254" ht="15.75" customHeight="1">
      <c r="G254" s="30"/>
    </row>
    <row r="255" ht="15.75" customHeight="1">
      <c r="G255" s="30"/>
    </row>
    <row r="256" ht="15.75" customHeight="1">
      <c r="G256" s="30"/>
    </row>
    <row r="257" ht="15.75" customHeight="1">
      <c r="G257" s="30"/>
    </row>
    <row r="258" ht="15.75" customHeight="1">
      <c r="G258" s="30"/>
    </row>
    <row r="259" ht="15.75" customHeight="1">
      <c r="G259" s="30"/>
    </row>
    <row r="260" ht="15.75" customHeight="1">
      <c r="G260" s="30"/>
    </row>
    <row r="261" ht="15.75" customHeight="1">
      <c r="G261" s="30"/>
    </row>
    <row r="262" ht="15.75" customHeight="1">
      <c r="G262" s="30"/>
    </row>
    <row r="263" ht="15.75" customHeight="1">
      <c r="G263" s="30"/>
    </row>
    <row r="264" ht="15.75" customHeight="1">
      <c r="G264" s="30"/>
    </row>
    <row r="265" ht="15.75" customHeight="1">
      <c r="G265" s="30"/>
    </row>
    <row r="266" ht="15.75" customHeight="1">
      <c r="G266" s="30"/>
    </row>
    <row r="267" ht="15.75" customHeight="1">
      <c r="G267" s="30"/>
    </row>
    <row r="268" ht="15.75" customHeight="1">
      <c r="G268" s="30"/>
    </row>
    <row r="269" ht="15.75" customHeight="1">
      <c r="G269" s="30"/>
    </row>
    <row r="270" ht="15.75" customHeight="1">
      <c r="G270" s="30"/>
    </row>
    <row r="271" ht="15.75" customHeight="1">
      <c r="G271" s="30"/>
    </row>
    <row r="272" ht="15.75" customHeight="1">
      <c r="G272" s="30"/>
    </row>
    <row r="273" ht="15.75" customHeight="1">
      <c r="G273" s="30"/>
    </row>
    <row r="274" ht="15.75" customHeight="1">
      <c r="G274" s="30"/>
    </row>
    <row r="275" ht="15.75" customHeight="1">
      <c r="G275" s="30"/>
    </row>
    <row r="276" ht="15.75" customHeight="1">
      <c r="G276" s="30"/>
    </row>
    <row r="277" ht="15.75" customHeight="1">
      <c r="G277" s="30"/>
    </row>
    <row r="278" ht="15.75" customHeight="1">
      <c r="G278" s="30"/>
    </row>
    <row r="279" ht="15.75" customHeight="1">
      <c r="G279" s="30"/>
    </row>
    <row r="280" ht="15.75" customHeight="1">
      <c r="G280" s="30"/>
    </row>
    <row r="281" ht="15.75" customHeight="1">
      <c r="G281" s="30"/>
    </row>
    <row r="282" ht="15.75" customHeight="1">
      <c r="G282" s="30"/>
    </row>
    <row r="283" ht="15.75" customHeight="1">
      <c r="G283" s="30"/>
    </row>
    <row r="284" ht="15.75" customHeight="1">
      <c r="G284" s="30"/>
    </row>
    <row r="285" ht="15.75" customHeight="1">
      <c r="G285" s="30"/>
    </row>
    <row r="286" ht="15.75" customHeight="1">
      <c r="G286" s="30"/>
    </row>
    <row r="287" ht="15.75" customHeight="1">
      <c r="G287" s="30"/>
    </row>
    <row r="288" ht="15.75" customHeight="1">
      <c r="G288" s="30"/>
    </row>
    <row r="289" ht="15.75" customHeight="1">
      <c r="G289" s="30"/>
    </row>
    <row r="290" ht="15.75" customHeight="1">
      <c r="G290" s="30"/>
    </row>
    <row r="291" ht="15.75" customHeight="1">
      <c r="G291" s="30"/>
    </row>
    <row r="292" ht="15.75" customHeight="1">
      <c r="G292" s="30"/>
    </row>
    <row r="293" ht="15.75" customHeight="1">
      <c r="G293" s="30"/>
    </row>
    <row r="294" ht="15.75" customHeight="1">
      <c r="G294" s="30"/>
    </row>
    <row r="295" ht="15.75" customHeight="1">
      <c r="G295" s="30"/>
    </row>
    <row r="296" ht="15.75" customHeight="1">
      <c r="G296" s="30"/>
    </row>
    <row r="297" ht="15.75" customHeight="1">
      <c r="G297" s="30"/>
    </row>
    <row r="298" ht="15.75" customHeight="1">
      <c r="G298" s="30"/>
    </row>
    <row r="299" ht="15.75" customHeight="1">
      <c r="G299" s="30"/>
    </row>
    <row r="300" ht="15.75" customHeight="1">
      <c r="G300" s="30"/>
    </row>
    <row r="301" ht="15.75" customHeight="1">
      <c r="G301" s="30"/>
    </row>
    <row r="302" ht="15.75" customHeight="1">
      <c r="G302" s="30"/>
    </row>
    <row r="303" ht="15.75" customHeight="1">
      <c r="G303" s="30"/>
    </row>
    <row r="304" ht="15.75" customHeight="1">
      <c r="G304" s="30"/>
    </row>
    <row r="305" ht="15.75" customHeight="1">
      <c r="G305" s="30"/>
    </row>
    <row r="306" ht="15.75" customHeight="1">
      <c r="G306" s="30"/>
    </row>
    <row r="307" ht="15.75" customHeight="1">
      <c r="G307" s="30"/>
    </row>
    <row r="308" ht="15.75" customHeight="1">
      <c r="G308" s="30"/>
    </row>
    <row r="309" ht="15.75" customHeight="1">
      <c r="G309" s="30"/>
    </row>
    <row r="310" ht="15.75" customHeight="1">
      <c r="G310" s="30"/>
    </row>
    <row r="311" ht="15.75" customHeight="1">
      <c r="G311" s="30"/>
    </row>
    <row r="312" ht="15.75" customHeight="1">
      <c r="G312" s="30"/>
    </row>
    <row r="313" ht="15.75" customHeight="1">
      <c r="G313" s="30"/>
    </row>
    <row r="314" ht="15.75" customHeight="1">
      <c r="G314" s="30"/>
    </row>
    <row r="315" ht="15.75" customHeight="1">
      <c r="G315" s="30"/>
    </row>
    <row r="316" ht="15.75" customHeight="1">
      <c r="G316" s="30"/>
    </row>
    <row r="317" ht="15.75" customHeight="1">
      <c r="G317" s="30"/>
    </row>
    <row r="318" ht="15.75" customHeight="1">
      <c r="G318" s="30"/>
    </row>
    <row r="319" ht="15.75" customHeight="1">
      <c r="G319" s="30"/>
    </row>
    <row r="320" ht="15.75" customHeight="1">
      <c r="G320" s="30"/>
    </row>
    <row r="321" ht="15.75" customHeight="1">
      <c r="G321" s="30"/>
    </row>
    <row r="322" ht="15.75" customHeight="1">
      <c r="G322" s="30"/>
    </row>
    <row r="323" ht="15.75" customHeight="1">
      <c r="G323" s="30"/>
    </row>
    <row r="324" ht="15.75" customHeight="1">
      <c r="G324" s="30"/>
    </row>
    <row r="325" ht="15.75" customHeight="1">
      <c r="G325" s="30"/>
    </row>
    <row r="326" ht="15.75" customHeight="1">
      <c r="G326" s="30"/>
    </row>
    <row r="327" ht="15.75" customHeight="1">
      <c r="G327" s="30"/>
    </row>
    <row r="328" ht="15.75" customHeight="1">
      <c r="G328" s="30"/>
    </row>
    <row r="329" ht="15.75" customHeight="1">
      <c r="G329" s="30"/>
    </row>
    <row r="330" ht="15.75" customHeight="1">
      <c r="G330" s="30"/>
    </row>
    <row r="331" ht="15.75" customHeight="1">
      <c r="G331" s="30"/>
    </row>
    <row r="332" ht="15.75" customHeight="1">
      <c r="G332" s="30"/>
    </row>
    <row r="333" ht="15.75" customHeight="1">
      <c r="G333" s="30"/>
    </row>
    <row r="334" ht="15.75" customHeight="1">
      <c r="G334" s="30"/>
    </row>
    <row r="335" ht="15.75" customHeight="1">
      <c r="G335" s="30"/>
    </row>
    <row r="336" ht="15.75" customHeight="1">
      <c r="G336" s="30"/>
    </row>
    <row r="337" ht="15.75" customHeight="1">
      <c r="G337" s="30"/>
    </row>
    <row r="338" ht="15.75" customHeight="1">
      <c r="G338" s="30"/>
    </row>
    <row r="339" ht="15.75" customHeight="1">
      <c r="G339" s="30"/>
    </row>
    <row r="340" ht="15.75" customHeight="1">
      <c r="G340" s="30"/>
    </row>
    <row r="341" ht="15.75" customHeight="1">
      <c r="G341" s="30"/>
    </row>
    <row r="342" ht="15.75" customHeight="1">
      <c r="G342" s="30"/>
    </row>
    <row r="343" ht="15.75" customHeight="1">
      <c r="G343" s="30"/>
    </row>
    <row r="344" ht="15.75" customHeight="1">
      <c r="G344" s="30"/>
    </row>
    <row r="345" ht="15.75" customHeight="1">
      <c r="G345" s="30"/>
    </row>
    <row r="346" ht="15.75" customHeight="1">
      <c r="G346" s="30"/>
    </row>
    <row r="347" ht="15.75" customHeight="1">
      <c r="G347" s="30"/>
    </row>
    <row r="348" ht="15.75" customHeight="1">
      <c r="G348" s="30"/>
    </row>
    <row r="349" ht="15.75" customHeight="1">
      <c r="G349" s="30"/>
    </row>
    <row r="350" ht="15.75" customHeight="1">
      <c r="G350" s="30"/>
    </row>
    <row r="351" ht="15.75" customHeight="1">
      <c r="G351" s="30"/>
    </row>
    <row r="352" ht="15.75" customHeight="1">
      <c r="G352" s="30"/>
    </row>
    <row r="353" ht="15.75" customHeight="1">
      <c r="G353" s="30"/>
    </row>
    <row r="354" ht="15.75" customHeight="1">
      <c r="G354" s="30"/>
    </row>
    <row r="355" ht="15.75" customHeight="1">
      <c r="G355" s="30"/>
    </row>
    <row r="356" ht="15.75" customHeight="1">
      <c r="G356" s="30"/>
    </row>
    <row r="357" ht="15.75" customHeight="1">
      <c r="G357" s="30"/>
    </row>
    <row r="358" ht="15.75" customHeight="1">
      <c r="G358" s="30"/>
    </row>
    <row r="359" ht="15.75" customHeight="1">
      <c r="G359" s="30"/>
    </row>
    <row r="360" ht="15.75" customHeight="1">
      <c r="G360" s="30"/>
    </row>
    <row r="361" ht="15.75" customHeight="1">
      <c r="G361" s="30"/>
    </row>
    <row r="362" ht="15.75" customHeight="1">
      <c r="G362" s="30"/>
    </row>
    <row r="363" ht="15.75" customHeight="1">
      <c r="G363" s="30"/>
    </row>
    <row r="364" ht="15.75" customHeight="1">
      <c r="G364" s="30"/>
    </row>
    <row r="365" ht="15.75" customHeight="1">
      <c r="G365" s="30"/>
    </row>
    <row r="366" ht="15.75" customHeight="1">
      <c r="G366" s="30"/>
    </row>
    <row r="367" ht="15.75" customHeight="1">
      <c r="G367" s="30"/>
    </row>
    <row r="368" ht="15.75" customHeight="1">
      <c r="G368" s="30"/>
    </row>
    <row r="369" ht="15.75" customHeight="1">
      <c r="G369" s="30"/>
    </row>
    <row r="370" ht="15.75" customHeight="1">
      <c r="G370" s="30"/>
    </row>
    <row r="371" ht="15.75" customHeight="1">
      <c r="G371" s="30"/>
    </row>
    <row r="372" ht="15.75" customHeight="1">
      <c r="G372" s="30"/>
    </row>
    <row r="373" ht="15.75" customHeight="1">
      <c r="G373" s="30"/>
    </row>
    <row r="374" ht="15.75" customHeight="1">
      <c r="G374" s="30"/>
    </row>
    <row r="375" ht="15.75" customHeight="1">
      <c r="G375" s="30"/>
    </row>
    <row r="376" ht="15.75" customHeight="1">
      <c r="G376" s="30"/>
    </row>
    <row r="377" ht="15.75" customHeight="1">
      <c r="G377" s="30"/>
    </row>
    <row r="378" ht="15.75" customHeight="1">
      <c r="G378" s="30"/>
    </row>
    <row r="379" ht="15.75" customHeight="1">
      <c r="G379" s="30"/>
    </row>
    <row r="380" ht="15.75" customHeight="1">
      <c r="G380" s="30"/>
    </row>
    <row r="381" ht="15.75" customHeight="1">
      <c r="G381" s="30"/>
    </row>
    <row r="382" ht="15.75" customHeight="1">
      <c r="G382" s="30"/>
    </row>
    <row r="383" ht="15.75" customHeight="1">
      <c r="G383" s="30"/>
    </row>
    <row r="384" ht="15.75" customHeight="1">
      <c r="G384" s="30"/>
    </row>
    <row r="385" ht="15.75" customHeight="1">
      <c r="G385" s="30"/>
    </row>
    <row r="386" ht="15.75" customHeight="1">
      <c r="G386" s="30"/>
    </row>
    <row r="387" ht="15.75" customHeight="1">
      <c r="G387" s="30"/>
    </row>
    <row r="388" ht="15.75" customHeight="1">
      <c r="G388" s="30"/>
    </row>
    <row r="389" ht="15.75" customHeight="1">
      <c r="G389" s="30"/>
    </row>
    <row r="390" ht="15.75" customHeight="1">
      <c r="G390" s="30"/>
    </row>
    <row r="391" ht="15.75" customHeight="1">
      <c r="G391" s="30"/>
    </row>
    <row r="392" ht="15.75" customHeight="1">
      <c r="G392" s="30"/>
    </row>
    <row r="393" ht="15.75" customHeight="1">
      <c r="G393" s="30"/>
    </row>
    <row r="394" ht="15.75" customHeight="1">
      <c r="G394" s="30"/>
    </row>
    <row r="395" ht="15.75" customHeight="1">
      <c r="G395" s="30"/>
    </row>
    <row r="396" ht="15.75" customHeight="1">
      <c r="G396" s="30"/>
    </row>
    <row r="397" ht="15.75" customHeight="1">
      <c r="G397" s="30"/>
    </row>
    <row r="398" ht="15.75" customHeight="1">
      <c r="G398" s="30"/>
    </row>
    <row r="399" ht="15.75" customHeight="1">
      <c r="G399" s="30"/>
    </row>
    <row r="400" ht="15.75" customHeight="1">
      <c r="G400" s="30"/>
    </row>
    <row r="401" ht="15.75" customHeight="1">
      <c r="G401" s="30"/>
    </row>
    <row r="402" ht="15.75" customHeight="1">
      <c r="G402" s="30"/>
    </row>
    <row r="403" ht="15.75" customHeight="1">
      <c r="G403" s="30"/>
    </row>
    <row r="404" ht="15.75" customHeight="1">
      <c r="G404" s="30"/>
    </row>
    <row r="405" ht="15.75" customHeight="1">
      <c r="G405" s="30"/>
    </row>
    <row r="406" ht="15.75" customHeight="1">
      <c r="G406" s="30"/>
    </row>
    <row r="407" ht="15.75" customHeight="1">
      <c r="G407" s="30"/>
    </row>
    <row r="408" ht="15.75" customHeight="1">
      <c r="G408" s="30"/>
    </row>
    <row r="409" ht="15.75" customHeight="1">
      <c r="G409" s="30"/>
    </row>
    <row r="410" ht="15.75" customHeight="1">
      <c r="G410" s="30"/>
    </row>
    <row r="411" ht="15.75" customHeight="1">
      <c r="G411" s="30"/>
    </row>
    <row r="412" ht="15.75" customHeight="1">
      <c r="G412" s="30"/>
    </row>
    <row r="413" ht="15.75" customHeight="1">
      <c r="G413" s="30"/>
    </row>
    <row r="414" ht="15.75" customHeight="1">
      <c r="G414" s="30"/>
    </row>
    <row r="415" ht="15.75" customHeight="1">
      <c r="G415" s="30"/>
    </row>
    <row r="416" ht="15.75" customHeight="1">
      <c r="G416" s="30"/>
    </row>
    <row r="417" ht="15.75" customHeight="1">
      <c r="G417" s="30"/>
    </row>
    <row r="418" ht="15.75" customHeight="1">
      <c r="G418" s="30"/>
    </row>
    <row r="419" ht="15.75" customHeight="1">
      <c r="G419" s="30"/>
    </row>
    <row r="420" ht="15.75" customHeight="1">
      <c r="G420" s="30"/>
    </row>
    <row r="421" ht="15.75" customHeight="1">
      <c r="G421" s="30"/>
    </row>
    <row r="422" ht="15.75" customHeight="1">
      <c r="G422" s="30"/>
    </row>
    <row r="423" ht="15.75" customHeight="1">
      <c r="G423" s="30"/>
    </row>
    <row r="424" ht="15.75" customHeight="1">
      <c r="G424" s="30"/>
    </row>
    <row r="425" ht="15.75" customHeight="1">
      <c r="G425" s="30"/>
    </row>
    <row r="426" ht="15.75" customHeight="1">
      <c r="G426" s="30"/>
    </row>
    <row r="427" ht="15.75" customHeight="1">
      <c r="G427" s="30"/>
    </row>
    <row r="428" ht="15.75" customHeight="1">
      <c r="G428" s="30"/>
    </row>
    <row r="429" ht="15.75" customHeight="1">
      <c r="G429" s="30"/>
    </row>
    <row r="430" ht="15.75" customHeight="1">
      <c r="G430" s="30"/>
    </row>
    <row r="431" ht="15.75" customHeight="1">
      <c r="G431" s="30"/>
    </row>
    <row r="432" ht="15.75" customHeight="1">
      <c r="G432" s="30"/>
    </row>
    <row r="433" ht="15.75" customHeight="1">
      <c r="G433" s="30"/>
    </row>
    <row r="434" ht="15.75" customHeight="1">
      <c r="G434" s="30"/>
    </row>
    <row r="435" ht="15.75" customHeight="1">
      <c r="G435" s="30"/>
    </row>
    <row r="436" ht="15.75" customHeight="1">
      <c r="G436" s="30"/>
    </row>
    <row r="437" ht="15.75" customHeight="1">
      <c r="G437" s="30"/>
    </row>
    <row r="438" ht="15.75" customHeight="1">
      <c r="G438" s="30"/>
    </row>
    <row r="439" ht="15.75" customHeight="1">
      <c r="G439" s="30"/>
    </row>
    <row r="440" ht="15.75" customHeight="1">
      <c r="G440" s="30"/>
    </row>
    <row r="441" ht="15.75" customHeight="1">
      <c r="G441" s="30"/>
    </row>
    <row r="442" ht="15.75" customHeight="1">
      <c r="G442" s="30"/>
    </row>
    <row r="443" ht="15.75" customHeight="1">
      <c r="G443" s="30"/>
    </row>
    <row r="444" ht="15.75" customHeight="1">
      <c r="G444" s="30"/>
    </row>
    <row r="445" ht="15.75" customHeight="1">
      <c r="G445" s="30"/>
    </row>
    <row r="446" ht="15.75" customHeight="1">
      <c r="G446" s="30"/>
    </row>
    <row r="447" ht="15.75" customHeight="1">
      <c r="G447" s="30"/>
    </row>
    <row r="448" ht="15.75" customHeight="1">
      <c r="G448" s="30"/>
    </row>
    <row r="449" ht="15.75" customHeight="1">
      <c r="G449" s="30"/>
    </row>
    <row r="450" ht="15.75" customHeight="1">
      <c r="G450" s="30"/>
    </row>
    <row r="451" ht="15.75" customHeight="1">
      <c r="G451" s="30"/>
    </row>
    <row r="452" ht="15.75" customHeight="1">
      <c r="G452" s="30"/>
    </row>
    <row r="453" ht="15.75" customHeight="1">
      <c r="G453" s="30"/>
    </row>
    <row r="454" ht="15.75" customHeight="1">
      <c r="G454" s="30"/>
    </row>
    <row r="455" ht="15.75" customHeight="1">
      <c r="G455" s="30"/>
    </row>
    <row r="456" ht="15.75" customHeight="1">
      <c r="G456" s="30"/>
    </row>
    <row r="457" ht="15.75" customHeight="1">
      <c r="G457" s="30"/>
    </row>
    <row r="458" ht="15.75" customHeight="1">
      <c r="G458" s="30"/>
    </row>
    <row r="459" ht="15.75" customHeight="1">
      <c r="G459" s="30"/>
    </row>
    <row r="460" ht="15.75" customHeight="1">
      <c r="G460" s="30"/>
    </row>
    <row r="461" ht="15.75" customHeight="1">
      <c r="G461" s="30"/>
    </row>
    <row r="462" ht="15.75" customHeight="1">
      <c r="G462" s="30"/>
    </row>
    <row r="463" ht="15.75" customHeight="1">
      <c r="G463" s="30"/>
    </row>
    <row r="464" ht="15.75" customHeight="1">
      <c r="G464" s="30"/>
    </row>
    <row r="465" ht="15.75" customHeight="1">
      <c r="G465" s="30"/>
    </row>
    <row r="466" ht="15.75" customHeight="1">
      <c r="G466" s="30"/>
    </row>
    <row r="467" ht="15.75" customHeight="1">
      <c r="G467" s="30"/>
    </row>
    <row r="468" ht="15.75" customHeight="1">
      <c r="G468" s="30"/>
    </row>
    <row r="469" ht="15.75" customHeight="1">
      <c r="G469" s="30"/>
    </row>
    <row r="470" ht="15.75" customHeight="1">
      <c r="G470" s="30"/>
    </row>
    <row r="471" ht="15.75" customHeight="1">
      <c r="G471" s="30"/>
    </row>
    <row r="472" ht="15.75" customHeight="1">
      <c r="G472" s="30"/>
    </row>
    <row r="473" ht="15.75" customHeight="1">
      <c r="G473" s="30"/>
    </row>
    <row r="474" ht="15.75" customHeight="1">
      <c r="G474" s="30"/>
    </row>
    <row r="475" ht="15.75" customHeight="1">
      <c r="G475" s="30"/>
    </row>
    <row r="476" ht="15.75" customHeight="1">
      <c r="G476" s="30"/>
    </row>
    <row r="477" ht="15.75" customHeight="1">
      <c r="G477" s="30"/>
    </row>
    <row r="478" ht="15.75" customHeight="1">
      <c r="G478" s="30"/>
    </row>
    <row r="479" ht="15.75" customHeight="1">
      <c r="G479" s="30"/>
    </row>
    <row r="480" ht="15.75" customHeight="1">
      <c r="G480" s="30"/>
    </row>
    <row r="481" ht="15.75" customHeight="1">
      <c r="G481" s="30"/>
    </row>
    <row r="482" ht="15.75" customHeight="1">
      <c r="G482" s="30"/>
    </row>
    <row r="483" ht="15.75" customHeight="1">
      <c r="G483" s="30"/>
    </row>
    <row r="484" ht="15.75" customHeight="1">
      <c r="G484" s="30"/>
    </row>
    <row r="485" ht="15.75" customHeight="1">
      <c r="G485" s="30"/>
    </row>
    <row r="486" ht="15.75" customHeight="1">
      <c r="G486" s="30"/>
    </row>
    <row r="487" ht="15.75" customHeight="1">
      <c r="G487" s="30"/>
    </row>
    <row r="488" ht="15.75" customHeight="1">
      <c r="G488" s="30"/>
    </row>
    <row r="489" ht="15.75" customHeight="1">
      <c r="G489" s="30"/>
    </row>
    <row r="490" ht="15.75" customHeight="1">
      <c r="G490" s="30"/>
    </row>
    <row r="491" ht="15.75" customHeight="1">
      <c r="G491" s="30"/>
    </row>
    <row r="492" ht="15.75" customHeight="1">
      <c r="G492" s="30"/>
    </row>
    <row r="493" ht="15.75" customHeight="1">
      <c r="G493" s="30"/>
    </row>
    <row r="494" ht="15.75" customHeight="1">
      <c r="G494" s="30"/>
    </row>
    <row r="495" ht="15.75" customHeight="1">
      <c r="G495" s="30"/>
    </row>
    <row r="496" ht="15.75" customHeight="1">
      <c r="G496" s="30"/>
    </row>
    <row r="497" ht="15.75" customHeight="1">
      <c r="G497" s="30"/>
    </row>
    <row r="498" ht="15.75" customHeight="1">
      <c r="G498" s="30"/>
    </row>
    <row r="499" ht="15.75" customHeight="1">
      <c r="G499" s="30"/>
    </row>
    <row r="500" ht="15.75" customHeight="1">
      <c r="G500" s="30"/>
    </row>
    <row r="501" ht="15.75" customHeight="1">
      <c r="G501" s="30"/>
    </row>
    <row r="502" ht="15.75" customHeight="1">
      <c r="G502" s="30"/>
    </row>
    <row r="503" ht="15.75" customHeight="1">
      <c r="G503" s="30"/>
    </row>
    <row r="504" ht="15.75" customHeight="1">
      <c r="G504" s="30"/>
    </row>
    <row r="505" ht="15.75" customHeight="1">
      <c r="G505" s="30"/>
    </row>
    <row r="506" ht="15.75" customHeight="1">
      <c r="G506" s="30"/>
    </row>
    <row r="507" ht="15.75" customHeight="1">
      <c r="G507" s="30"/>
    </row>
    <row r="508" ht="15.75" customHeight="1">
      <c r="G508" s="30"/>
    </row>
    <row r="509" ht="15.75" customHeight="1">
      <c r="G509" s="30"/>
    </row>
    <row r="510" ht="15.75" customHeight="1">
      <c r="G510" s="30"/>
    </row>
    <row r="511" ht="15.75" customHeight="1">
      <c r="G511" s="30"/>
    </row>
    <row r="512" ht="15.75" customHeight="1">
      <c r="G512" s="30"/>
    </row>
    <row r="513" ht="15.75" customHeight="1">
      <c r="G513" s="30"/>
    </row>
    <row r="514" ht="15.75" customHeight="1">
      <c r="G514" s="30"/>
    </row>
    <row r="515" ht="15.75" customHeight="1">
      <c r="G515" s="30"/>
    </row>
    <row r="516" ht="15.75" customHeight="1">
      <c r="G516" s="30"/>
    </row>
    <row r="517" ht="15.75" customHeight="1">
      <c r="G517" s="30"/>
    </row>
    <row r="518" ht="15.75" customHeight="1">
      <c r="G518" s="30"/>
    </row>
    <row r="519" ht="15.75" customHeight="1">
      <c r="G519" s="30"/>
    </row>
    <row r="520" ht="15.75" customHeight="1">
      <c r="G520" s="30"/>
    </row>
    <row r="521" ht="15.75" customHeight="1">
      <c r="G521" s="30"/>
    </row>
    <row r="522" ht="15.75" customHeight="1">
      <c r="G522" s="30"/>
    </row>
    <row r="523" ht="15.75" customHeight="1">
      <c r="G523" s="30"/>
    </row>
    <row r="524" ht="15.75" customHeight="1">
      <c r="G524" s="30"/>
    </row>
    <row r="525" ht="15.75" customHeight="1">
      <c r="G525" s="30"/>
    </row>
    <row r="526" ht="15.75" customHeight="1">
      <c r="G526" s="30"/>
    </row>
    <row r="527" ht="15.75" customHeight="1">
      <c r="G527" s="30"/>
    </row>
    <row r="528" ht="15.75" customHeight="1">
      <c r="G528" s="30"/>
    </row>
    <row r="529" ht="15.75" customHeight="1">
      <c r="G529" s="30"/>
    </row>
    <row r="530" ht="15.75" customHeight="1">
      <c r="G530" s="30"/>
    </row>
    <row r="531" ht="15.75" customHeight="1">
      <c r="G531" s="30"/>
    </row>
    <row r="532" ht="15.75" customHeight="1">
      <c r="G532" s="30"/>
    </row>
    <row r="533" ht="15.75" customHeight="1">
      <c r="G533" s="30"/>
    </row>
    <row r="534" ht="15.75" customHeight="1">
      <c r="G534" s="30"/>
    </row>
    <row r="535" ht="15.75" customHeight="1">
      <c r="G535" s="30"/>
    </row>
    <row r="536" ht="15.75" customHeight="1">
      <c r="G536" s="30"/>
    </row>
    <row r="537" ht="15.75" customHeight="1">
      <c r="G537" s="30"/>
    </row>
    <row r="538" ht="15.75" customHeight="1">
      <c r="G538" s="30"/>
    </row>
    <row r="539" ht="15.75" customHeight="1">
      <c r="G539" s="30"/>
    </row>
    <row r="540" ht="15.75" customHeight="1">
      <c r="G540" s="30"/>
    </row>
    <row r="541" ht="15.75" customHeight="1">
      <c r="G541" s="30"/>
    </row>
    <row r="542" ht="15.75" customHeight="1">
      <c r="G542" s="30"/>
    </row>
    <row r="543" ht="15.75" customHeight="1">
      <c r="G543" s="30"/>
    </row>
    <row r="544" ht="15.75" customHeight="1">
      <c r="G544" s="30"/>
    </row>
    <row r="545" ht="15.75" customHeight="1">
      <c r="G545" s="30"/>
    </row>
    <row r="546" ht="15.75" customHeight="1">
      <c r="G546" s="30"/>
    </row>
    <row r="547" ht="15.75" customHeight="1">
      <c r="G547" s="30"/>
    </row>
    <row r="548" ht="15.75" customHeight="1">
      <c r="G548" s="30"/>
    </row>
    <row r="549" ht="15.75" customHeight="1">
      <c r="G549" s="30"/>
    </row>
    <row r="550" ht="15.75" customHeight="1">
      <c r="G550" s="30"/>
    </row>
    <row r="551" ht="15.75" customHeight="1">
      <c r="G551" s="30"/>
    </row>
    <row r="552" ht="15.75" customHeight="1">
      <c r="G552" s="30"/>
    </row>
    <row r="553" ht="15.75" customHeight="1">
      <c r="G553" s="30"/>
    </row>
    <row r="554" ht="15.75" customHeight="1">
      <c r="G554" s="30"/>
    </row>
    <row r="555" ht="15.75" customHeight="1">
      <c r="G555" s="30"/>
    </row>
    <row r="556" ht="15.75" customHeight="1">
      <c r="G556" s="30"/>
    </row>
    <row r="557" ht="15.75" customHeight="1">
      <c r="G557" s="30"/>
    </row>
    <row r="558" ht="15.75" customHeight="1">
      <c r="G558" s="30"/>
    </row>
    <row r="559" ht="15.75" customHeight="1">
      <c r="G559" s="30"/>
    </row>
    <row r="560" ht="15.75" customHeight="1">
      <c r="G560" s="30"/>
    </row>
    <row r="561" ht="15.75" customHeight="1">
      <c r="G561" s="30"/>
    </row>
    <row r="562" ht="15.75" customHeight="1">
      <c r="G562" s="30"/>
    </row>
    <row r="563" ht="15.75" customHeight="1">
      <c r="G563" s="30"/>
    </row>
    <row r="564" ht="15.75" customHeight="1">
      <c r="G564" s="30"/>
    </row>
    <row r="565" ht="15.75" customHeight="1">
      <c r="G565" s="30"/>
    </row>
    <row r="566" ht="15.75" customHeight="1">
      <c r="G566" s="30"/>
    </row>
    <row r="567" ht="15.75" customHeight="1">
      <c r="G567" s="30"/>
    </row>
    <row r="568" ht="15.75" customHeight="1">
      <c r="G568" s="30"/>
    </row>
    <row r="569" ht="15.75" customHeight="1">
      <c r="G569" s="30"/>
    </row>
    <row r="570" ht="15.75" customHeight="1">
      <c r="G570" s="30"/>
    </row>
    <row r="571" ht="15.75" customHeight="1">
      <c r="G571" s="30"/>
    </row>
    <row r="572" ht="15.75" customHeight="1">
      <c r="G572" s="30"/>
    </row>
    <row r="573" ht="15.75" customHeight="1">
      <c r="G573" s="30"/>
    </row>
    <row r="574" ht="15.75" customHeight="1">
      <c r="G574" s="30"/>
    </row>
    <row r="575" ht="15.75" customHeight="1">
      <c r="G575" s="30"/>
    </row>
    <row r="576" ht="15.75" customHeight="1">
      <c r="G576" s="30"/>
    </row>
    <row r="577" ht="15.75" customHeight="1">
      <c r="G577" s="30"/>
    </row>
    <row r="578" ht="15.75" customHeight="1">
      <c r="G578" s="30"/>
    </row>
    <row r="579" ht="15.75" customHeight="1">
      <c r="G579" s="30"/>
    </row>
    <row r="580" ht="15.75" customHeight="1">
      <c r="G580" s="30"/>
    </row>
    <row r="581" ht="15.75" customHeight="1">
      <c r="G581" s="30"/>
    </row>
    <row r="582" ht="15.75" customHeight="1">
      <c r="G582" s="30"/>
    </row>
    <row r="583" ht="15.75" customHeight="1">
      <c r="G583" s="30"/>
    </row>
    <row r="584" ht="15.75" customHeight="1">
      <c r="G584" s="30"/>
    </row>
    <row r="585" ht="15.75" customHeight="1">
      <c r="G585" s="30"/>
    </row>
    <row r="586" ht="15.75" customHeight="1">
      <c r="G586" s="30"/>
    </row>
    <row r="587" ht="15.75" customHeight="1">
      <c r="G587" s="30"/>
    </row>
    <row r="588" ht="15.75" customHeight="1">
      <c r="G588" s="30"/>
    </row>
    <row r="589" ht="15.75" customHeight="1">
      <c r="G589" s="30"/>
    </row>
    <row r="590" ht="15.75" customHeight="1">
      <c r="G590" s="30"/>
    </row>
    <row r="591" ht="15.75" customHeight="1">
      <c r="G591" s="30"/>
    </row>
    <row r="592" ht="15.75" customHeight="1">
      <c r="G592" s="30"/>
    </row>
    <row r="593" ht="15.75" customHeight="1">
      <c r="G593" s="30"/>
    </row>
    <row r="594" ht="15.75" customHeight="1">
      <c r="G594" s="30"/>
    </row>
    <row r="595" ht="15.75" customHeight="1">
      <c r="G595" s="30"/>
    </row>
    <row r="596" ht="15.75" customHeight="1">
      <c r="G596" s="30"/>
    </row>
    <row r="597" ht="15.75" customHeight="1">
      <c r="G597" s="30"/>
    </row>
    <row r="598" ht="15.75" customHeight="1">
      <c r="G598" s="30"/>
    </row>
    <row r="599" ht="15.75" customHeight="1">
      <c r="G599" s="30"/>
    </row>
    <row r="600" ht="15.75" customHeight="1">
      <c r="G600" s="30"/>
    </row>
    <row r="601" ht="15.75" customHeight="1">
      <c r="G601" s="30"/>
    </row>
    <row r="602" ht="15.75" customHeight="1">
      <c r="G602" s="30"/>
    </row>
    <row r="603" ht="15.75" customHeight="1">
      <c r="G603" s="30"/>
    </row>
    <row r="604" ht="15.75" customHeight="1">
      <c r="G604" s="30"/>
    </row>
    <row r="605" ht="15.75" customHeight="1">
      <c r="G605" s="30"/>
    </row>
    <row r="606" ht="15.75" customHeight="1">
      <c r="G606" s="30"/>
    </row>
    <row r="607" ht="15.75" customHeight="1">
      <c r="G607" s="30"/>
    </row>
    <row r="608" ht="15.75" customHeight="1">
      <c r="G608" s="30"/>
    </row>
    <row r="609" ht="15.75" customHeight="1">
      <c r="G609" s="30"/>
    </row>
    <row r="610" ht="15.75" customHeight="1">
      <c r="G610" s="30"/>
    </row>
    <row r="611" ht="15.75" customHeight="1">
      <c r="G611" s="30"/>
    </row>
    <row r="612" ht="15.75" customHeight="1">
      <c r="G612" s="30"/>
    </row>
    <row r="613" ht="15.75" customHeight="1">
      <c r="G613" s="30"/>
    </row>
    <row r="614" ht="15.75" customHeight="1">
      <c r="G614" s="30"/>
    </row>
    <row r="615" ht="15.75" customHeight="1">
      <c r="G615" s="30"/>
    </row>
    <row r="616" ht="15.75" customHeight="1">
      <c r="G616" s="30"/>
    </row>
    <row r="617" ht="15.75" customHeight="1">
      <c r="G617" s="30"/>
    </row>
    <row r="618" ht="15.75" customHeight="1">
      <c r="G618" s="30"/>
    </row>
    <row r="619" ht="15.75" customHeight="1">
      <c r="G619" s="30"/>
    </row>
    <row r="620" ht="15.75" customHeight="1">
      <c r="G620" s="30"/>
    </row>
    <row r="621" ht="15.75" customHeight="1">
      <c r="G621" s="30"/>
    </row>
    <row r="622" ht="15.75" customHeight="1">
      <c r="G622" s="30"/>
    </row>
    <row r="623" ht="15.75" customHeight="1">
      <c r="G623" s="30"/>
    </row>
    <row r="624" ht="15.75" customHeight="1">
      <c r="G624" s="30"/>
    </row>
    <row r="625" ht="15.75" customHeight="1">
      <c r="G625" s="30"/>
    </row>
    <row r="626" ht="15.75" customHeight="1">
      <c r="G626" s="30"/>
    </row>
    <row r="627" ht="15.75" customHeight="1">
      <c r="G627" s="30"/>
    </row>
    <row r="628" ht="15.75" customHeight="1">
      <c r="G628" s="30"/>
    </row>
    <row r="629" ht="15.75" customHeight="1">
      <c r="G629" s="30"/>
    </row>
    <row r="630" ht="15.75" customHeight="1">
      <c r="G630" s="30"/>
    </row>
    <row r="631" ht="15.75" customHeight="1">
      <c r="G631" s="30"/>
    </row>
    <row r="632" ht="15.75" customHeight="1">
      <c r="G632" s="30"/>
    </row>
    <row r="633" ht="15.75" customHeight="1">
      <c r="G633" s="30"/>
    </row>
    <row r="634" ht="15.75" customHeight="1">
      <c r="G634" s="30"/>
    </row>
    <row r="635" ht="15.75" customHeight="1">
      <c r="G635" s="30"/>
    </row>
    <row r="636" ht="15.75" customHeight="1">
      <c r="G636" s="30"/>
    </row>
    <row r="637" ht="15.75" customHeight="1">
      <c r="G637" s="30"/>
    </row>
    <row r="638" ht="15.75" customHeight="1">
      <c r="G638" s="30"/>
    </row>
    <row r="639" ht="15.75" customHeight="1">
      <c r="G639" s="30"/>
    </row>
    <row r="640" ht="15.75" customHeight="1">
      <c r="G640" s="30"/>
    </row>
    <row r="641" ht="15.75" customHeight="1">
      <c r="G641" s="30"/>
    </row>
    <row r="642" ht="15.75" customHeight="1">
      <c r="G642" s="30"/>
    </row>
    <row r="643" ht="15.75" customHeight="1">
      <c r="G643" s="30"/>
    </row>
    <row r="644" ht="15.75" customHeight="1">
      <c r="G644" s="30"/>
    </row>
    <row r="645" ht="15.75" customHeight="1">
      <c r="G645" s="30"/>
    </row>
    <row r="646" ht="15.75" customHeight="1">
      <c r="G646" s="30"/>
    </row>
    <row r="647" ht="15.75" customHeight="1">
      <c r="G647" s="30"/>
    </row>
    <row r="648" ht="15.75" customHeight="1">
      <c r="G648" s="30"/>
    </row>
    <row r="649" ht="15.75" customHeight="1">
      <c r="G649" s="30"/>
    </row>
    <row r="650" ht="15.75" customHeight="1">
      <c r="G650" s="30"/>
    </row>
    <row r="651" ht="15.75" customHeight="1">
      <c r="G651" s="30"/>
    </row>
    <row r="652" ht="15.75" customHeight="1">
      <c r="G652" s="30"/>
    </row>
    <row r="653" ht="15.75" customHeight="1">
      <c r="G653" s="30"/>
    </row>
    <row r="654" ht="15.75" customHeight="1">
      <c r="G654" s="30"/>
    </row>
    <row r="655" ht="15.75" customHeight="1">
      <c r="G655" s="30"/>
    </row>
    <row r="656" ht="15.75" customHeight="1">
      <c r="G656" s="30"/>
    </row>
    <row r="657" ht="15.75" customHeight="1">
      <c r="G657" s="30"/>
    </row>
    <row r="658" ht="15.75" customHeight="1">
      <c r="G658" s="30"/>
    </row>
    <row r="659" ht="15.75" customHeight="1">
      <c r="G659" s="30"/>
    </row>
    <row r="660" ht="15.75" customHeight="1">
      <c r="G660" s="30"/>
    </row>
    <row r="661" ht="15.75" customHeight="1">
      <c r="G661" s="30"/>
    </row>
    <row r="662" ht="15.75" customHeight="1">
      <c r="G662" s="30"/>
    </row>
    <row r="663" ht="15.75" customHeight="1">
      <c r="G663" s="30"/>
    </row>
    <row r="664" ht="15.75" customHeight="1">
      <c r="G664" s="30"/>
    </row>
    <row r="665" ht="15.75" customHeight="1">
      <c r="G665" s="30"/>
    </row>
    <row r="666" ht="15.75" customHeight="1">
      <c r="G666" s="30"/>
    </row>
    <row r="667" ht="15.75" customHeight="1">
      <c r="G667" s="30"/>
    </row>
    <row r="668" ht="15.75" customHeight="1">
      <c r="G668" s="30"/>
    </row>
    <row r="669" ht="15.75" customHeight="1">
      <c r="G669" s="30"/>
    </row>
    <row r="670" ht="15.75" customHeight="1">
      <c r="G670" s="30"/>
    </row>
    <row r="671" ht="15.75" customHeight="1">
      <c r="G671" s="30"/>
    </row>
    <row r="672" ht="15.75" customHeight="1">
      <c r="G672" s="30"/>
    </row>
    <row r="673" ht="15.75" customHeight="1">
      <c r="G673" s="30"/>
    </row>
    <row r="674" ht="15.75" customHeight="1">
      <c r="G674" s="30"/>
    </row>
    <row r="675" ht="15.75" customHeight="1">
      <c r="G675" s="30"/>
    </row>
    <row r="676" ht="15.75" customHeight="1">
      <c r="G676" s="30"/>
    </row>
    <row r="677" ht="15.75" customHeight="1">
      <c r="G677" s="30"/>
    </row>
    <row r="678" ht="15.75" customHeight="1">
      <c r="G678" s="30"/>
    </row>
    <row r="679" ht="15.75" customHeight="1">
      <c r="G679" s="30"/>
    </row>
    <row r="680" ht="15.75" customHeight="1">
      <c r="G680" s="30"/>
    </row>
    <row r="681" ht="15.75" customHeight="1">
      <c r="G681" s="30"/>
    </row>
    <row r="682" ht="15.75" customHeight="1">
      <c r="G682" s="30"/>
    </row>
    <row r="683" ht="15.75" customHeight="1">
      <c r="G683" s="30"/>
    </row>
    <row r="684" ht="15.75" customHeight="1">
      <c r="G684" s="30"/>
    </row>
    <row r="685" ht="15.75" customHeight="1">
      <c r="G685" s="30"/>
    </row>
    <row r="686" ht="15.75" customHeight="1">
      <c r="G686" s="30"/>
    </row>
    <row r="687" ht="15.75" customHeight="1">
      <c r="G687" s="30"/>
    </row>
    <row r="688" ht="15.75" customHeight="1">
      <c r="G688" s="30"/>
    </row>
    <row r="689" ht="15.75" customHeight="1">
      <c r="G689" s="30"/>
    </row>
    <row r="690" ht="15.75" customHeight="1">
      <c r="G690" s="30"/>
    </row>
    <row r="691" ht="15.75" customHeight="1">
      <c r="G691" s="30"/>
    </row>
    <row r="692" ht="15.75" customHeight="1">
      <c r="G692" s="30"/>
    </row>
    <row r="693" ht="15.75" customHeight="1">
      <c r="G693" s="30"/>
    </row>
    <row r="694" ht="15.75" customHeight="1">
      <c r="G694" s="30"/>
    </row>
    <row r="695" ht="15.75" customHeight="1">
      <c r="G695" s="30"/>
    </row>
    <row r="696" ht="15.75" customHeight="1">
      <c r="G696" s="30"/>
    </row>
    <row r="697" ht="15.75" customHeight="1">
      <c r="G697" s="30"/>
    </row>
    <row r="698" ht="15.75" customHeight="1">
      <c r="G698" s="30"/>
    </row>
    <row r="699" ht="15.75" customHeight="1">
      <c r="G699" s="30"/>
    </row>
    <row r="700" ht="15.75" customHeight="1">
      <c r="G700" s="30"/>
    </row>
    <row r="701" ht="15.75" customHeight="1">
      <c r="G701" s="30"/>
    </row>
    <row r="702" ht="15.75" customHeight="1">
      <c r="G702" s="30"/>
    </row>
    <row r="703" ht="15.75" customHeight="1">
      <c r="G703" s="30"/>
    </row>
    <row r="704" ht="15.75" customHeight="1">
      <c r="G704" s="30"/>
    </row>
    <row r="705" ht="15.75" customHeight="1">
      <c r="G705" s="30"/>
    </row>
    <row r="706" ht="15.75" customHeight="1">
      <c r="G706" s="30"/>
    </row>
    <row r="707" ht="15.75" customHeight="1">
      <c r="G707" s="30"/>
    </row>
    <row r="708" ht="15.75" customHeight="1">
      <c r="G708" s="30"/>
    </row>
    <row r="709" ht="15.75" customHeight="1">
      <c r="G709" s="30"/>
    </row>
    <row r="710" ht="15.75" customHeight="1">
      <c r="G710" s="30"/>
    </row>
    <row r="711" ht="15.75" customHeight="1">
      <c r="G711" s="30"/>
    </row>
    <row r="712" ht="15.75" customHeight="1">
      <c r="G712" s="30"/>
    </row>
    <row r="713" ht="15.75" customHeight="1">
      <c r="G713" s="30"/>
    </row>
    <row r="714" ht="15.75" customHeight="1">
      <c r="G714" s="30"/>
    </row>
    <row r="715" ht="15.75" customHeight="1">
      <c r="G715" s="30"/>
    </row>
    <row r="716" ht="15.75" customHeight="1">
      <c r="G716" s="30"/>
    </row>
    <row r="717" ht="15.75" customHeight="1">
      <c r="G717" s="30"/>
    </row>
    <row r="718" ht="15.75" customHeight="1">
      <c r="G718" s="30"/>
    </row>
    <row r="719" ht="15.75" customHeight="1">
      <c r="G719" s="30"/>
    </row>
    <row r="720" ht="15.75" customHeight="1">
      <c r="G720" s="30"/>
    </row>
    <row r="721" ht="15.75" customHeight="1">
      <c r="G721" s="30"/>
    </row>
    <row r="722" ht="15.75" customHeight="1">
      <c r="G722" s="30"/>
    </row>
    <row r="723" ht="15.75" customHeight="1">
      <c r="G723" s="30"/>
    </row>
    <row r="724" ht="15.75" customHeight="1">
      <c r="G724" s="30"/>
    </row>
    <row r="725" ht="15.75" customHeight="1">
      <c r="G725" s="30"/>
    </row>
    <row r="726" ht="15.75" customHeight="1">
      <c r="G726" s="30"/>
    </row>
    <row r="727" ht="15.75" customHeight="1">
      <c r="G727" s="30"/>
    </row>
    <row r="728" ht="15.75" customHeight="1">
      <c r="G728" s="30"/>
    </row>
    <row r="729" ht="15.75" customHeight="1">
      <c r="G729" s="30"/>
    </row>
    <row r="730" ht="15.75" customHeight="1">
      <c r="G730" s="30"/>
    </row>
    <row r="731" ht="15.75" customHeight="1">
      <c r="G731" s="30"/>
    </row>
    <row r="732" ht="15.75" customHeight="1">
      <c r="G732" s="30"/>
    </row>
    <row r="733" ht="15.75" customHeight="1">
      <c r="G733" s="30"/>
    </row>
    <row r="734" ht="15.75" customHeight="1">
      <c r="G734" s="30"/>
    </row>
    <row r="735" ht="15.75" customHeight="1">
      <c r="G735" s="30"/>
    </row>
    <row r="736" ht="15.75" customHeight="1">
      <c r="G736" s="30"/>
    </row>
    <row r="737" ht="15.75" customHeight="1">
      <c r="G737" s="30"/>
    </row>
    <row r="738" ht="15.75" customHeight="1">
      <c r="G738" s="30"/>
    </row>
    <row r="739" ht="15.75" customHeight="1">
      <c r="G739" s="30"/>
    </row>
    <row r="740" ht="15.75" customHeight="1">
      <c r="G740" s="30"/>
    </row>
    <row r="741" ht="15.75" customHeight="1">
      <c r="G741" s="30"/>
    </row>
    <row r="742" ht="15.75" customHeight="1">
      <c r="G742" s="30"/>
    </row>
    <row r="743" ht="15.75" customHeight="1">
      <c r="G743" s="30"/>
    </row>
    <row r="744" ht="15.75" customHeight="1">
      <c r="G744" s="30"/>
    </row>
    <row r="745" ht="15.75" customHeight="1">
      <c r="G745" s="30"/>
    </row>
    <row r="746" ht="15.75" customHeight="1">
      <c r="G746" s="30"/>
    </row>
    <row r="747" ht="15.75" customHeight="1">
      <c r="G747" s="30"/>
    </row>
    <row r="748" ht="15.75" customHeight="1">
      <c r="G748" s="30"/>
    </row>
    <row r="749" ht="15.75" customHeight="1">
      <c r="G749" s="30"/>
    </row>
    <row r="750" ht="15.75" customHeight="1">
      <c r="G750" s="30"/>
    </row>
    <row r="751" ht="15.75" customHeight="1">
      <c r="G751" s="30"/>
    </row>
    <row r="752" ht="15.75" customHeight="1">
      <c r="G752" s="30"/>
    </row>
    <row r="753" ht="15.75" customHeight="1">
      <c r="G753" s="30"/>
    </row>
    <row r="754" ht="15.75" customHeight="1">
      <c r="G754" s="30"/>
    </row>
    <row r="755" ht="15.75" customHeight="1">
      <c r="G755" s="30"/>
    </row>
    <row r="756" ht="15.75" customHeight="1">
      <c r="G756" s="30"/>
    </row>
    <row r="757" ht="15.75" customHeight="1">
      <c r="G757" s="30"/>
    </row>
    <row r="758" ht="15.75" customHeight="1">
      <c r="G758" s="30"/>
    </row>
    <row r="759" ht="15.75" customHeight="1">
      <c r="G759" s="30"/>
    </row>
    <row r="760" ht="15.75" customHeight="1">
      <c r="G760" s="30"/>
    </row>
    <row r="761" ht="15.75" customHeight="1">
      <c r="G761" s="30"/>
    </row>
    <row r="762" ht="15.75" customHeight="1">
      <c r="G762" s="30"/>
    </row>
    <row r="763" ht="15.75" customHeight="1">
      <c r="G763" s="30"/>
    </row>
    <row r="764" ht="15.75" customHeight="1">
      <c r="G764" s="30"/>
    </row>
    <row r="765" ht="15.75" customHeight="1">
      <c r="G765" s="30"/>
    </row>
    <row r="766" ht="15.75" customHeight="1">
      <c r="G766" s="30"/>
    </row>
    <row r="767" ht="15.75" customHeight="1">
      <c r="G767" s="30"/>
    </row>
    <row r="768" ht="15.75" customHeight="1">
      <c r="G768" s="30"/>
    </row>
    <row r="769" ht="15.75" customHeight="1">
      <c r="G769" s="30"/>
    </row>
    <row r="770" ht="15.75" customHeight="1">
      <c r="G770" s="30"/>
    </row>
    <row r="771" ht="15.75" customHeight="1">
      <c r="G771" s="30"/>
    </row>
    <row r="772" ht="15.75" customHeight="1">
      <c r="G772" s="30"/>
    </row>
    <row r="773" ht="15.75" customHeight="1">
      <c r="G773" s="30"/>
    </row>
    <row r="774" ht="15.75" customHeight="1">
      <c r="G774" s="30"/>
    </row>
    <row r="775" ht="15.75" customHeight="1">
      <c r="G775" s="30"/>
    </row>
    <row r="776" ht="15.75" customHeight="1">
      <c r="G776" s="30"/>
    </row>
    <row r="777" ht="15.75" customHeight="1">
      <c r="G777" s="30"/>
    </row>
    <row r="778" ht="15.75" customHeight="1">
      <c r="G778" s="30"/>
    </row>
    <row r="779" ht="15.75" customHeight="1">
      <c r="G779" s="30"/>
    </row>
    <row r="780" ht="15.75" customHeight="1">
      <c r="G780" s="30"/>
    </row>
    <row r="781" ht="15.75" customHeight="1">
      <c r="G781" s="30"/>
    </row>
    <row r="782" ht="15.75" customHeight="1">
      <c r="G782" s="30"/>
    </row>
    <row r="783" ht="15.75" customHeight="1">
      <c r="G783" s="30"/>
    </row>
    <row r="784" ht="15.75" customHeight="1">
      <c r="G784" s="30"/>
    </row>
    <row r="785" ht="15.75" customHeight="1">
      <c r="G785" s="30"/>
    </row>
    <row r="786" ht="15.75" customHeight="1">
      <c r="G786" s="30"/>
    </row>
    <row r="787" ht="15.75" customHeight="1">
      <c r="G787" s="30"/>
    </row>
    <row r="788" ht="15.75" customHeight="1">
      <c r="G788" s="30"/>
    </row>
    <row r="789" ht="15.75" customHeight="1">
      <c r="G789" s="30"/>
    </row>
    <row r="790" ht="15.75" customHeight="1">
      <c r="G790" s="30"/>
    </row>
    <row r="791" ht="15.75" customHeight="1">
      <c r="G791" s="30"/>
    </row>
    <row r="792" ht="15.75" customHeight="1">
      <c r="G792" s="30"/>
    </row>
    <row r="793" ht="15.75" customHeight="1">
      <c r="G793" s="30"/>
    </row>
    <row r="794" ht="15.75" customHeight="1">
      <c r="G794" s="30"/>
    </row>
    <row r="795" ht="15.75" customHeight="1">
      <c r="G795" s="30"/>
    </row>
    <row r="796" ht="15.75" customHeight="1">
      <c r="G796" s="30"/>
    </row>
    <row r="797" ht="15.75" customHeight="1">
      <c r="G797" s="30"/>
    </row>
    <row r="798" ht="15.75" customHeight="1">
      <c r="G798" s="30"/>
    </row>
    <row r="799" ht="15.75" customHeight="1">
      <c r="G799" s="30"/>
    </row>
    <row r="800" ht="15.75" customHeight="1">
      <c r="G800" s="30"/>
    </row>
    <row r="801" ht="15.75" customHeight="1">
      <c r="G801" s="30"/>
    </row>
    <row r="802" ht="15.75" customHeight="1">
      <c r="G802" s="30"/>
    </row>
    <row r="803" ht="15.75" customHeight="1">
      <c r="G803" s="30"/>
    </row>
    <row r="804" ht="15.75" customHeight="1">
      <c r="G804" s="30"/>
    </row>
    <row r="805" ht="15.75" customHeight="1">
      <c r="G805" s="30"/>
    </row>
    <row r="806" ht="15.75" customHeight="1">
      <c r="G806" s="30"/>
    </row>
    <row r="807" ht="15.75" customHeight="1">
      <c r="G807" s="30"/>
    </row>
    <row r="808" ht="15.75" customHeight="1">
      <c r="G808" s="30"/>
    </row>
    <row r="809" ht="15.75" customHeight="1">
      <c r="G809" s="30"/>
    </row>
    <row r="810" ht="15.75" customHeight="1">
      <c r="G810" s="30"/>
    </row>
    <row r="811" ht="15.75" customHeight="1">
      <c r="G811" s="30"/>
    </row>
    <row r="812" ht="15.75" customHeight="1">
      <c r="G812" s="30"/>
    </row>
    <row r="813" ht="15.75" customHeight="1">
      <c r="G813" s="30"/>
    </row>
    <row r="814" ht="15.75" customHeight="1">
      <c r="G814" s="30"/>
    </row>
    <row r="815" ht="15.75" customHeight="1">
      <c r="G815" s="30"/>
    </row>
    <row r="816" ht="15.75" customHeight="1">
      <c r="G816" s="30"/>
    </row>
    <row r="817" ht="15.75" customHeight="1">
      <c r="G817" s="30"/>
    </row>
    <row r="818" ht="15.75" customHeight="1">
      <c r="G818" s="30"/>
    </row>
    <row r="819" ht="15.75" customHeight="1">
      <c r="G819" s="30"/>
    </row>
    <row r="820" ht="15.75" customHeight="1">
      <c r="G820" s="30"/>
    </row>
    <row r="821" ht="15.75" customHeight="1">
      <c r="G821" s="30"/>
    </row>
    <row r="822" ht="15.75" customHeight="1">
      <c r="G822" s="30"/>
    </row>
    <row r="823" ht="15.75" customHeight="1">
      <c r="G823" s="30"/>
    </row>
    <row r="824" ht="15.75" customHeight="1">
      <c r="G824" s="30"/>
    </row>
    <row r="825" ht="15.75" customHeight="1">
      <c r="G825" s="30"/>
    </row>
    <row r="826" ht="15.75" customHeight="1">
      <c r="G826" s="30"/>
    </row>
    <row r="827" ht="15.75" customHeight="1">
      <c r="G827" s="30"/>
    </row>
    <row r="828" ht="15.75" customHeight="1">
      <c r="G828" s="30"/>
    </row>
    <row r="829" ht="15.75" customHeight="1">
      <c r="G829" s="30"/>
    </row>
    <row r="830" ht="15.75" customHeight="1">
      <c r="G830" s="30"/>
    </row>
    <row r="831" ht="15.75" customHeight="1">
      <c r="G831" s="30"/>
    </row>
    <row r="832" ht="15.75" customHeight="1">
      <c r="G832" s="30"/>
    </row>
    <row r="833" ht="15.75" customHeight="1">
      <c r="G833" s="30"/>
    </row>
    <row r="834" ht="15.75" customHeight="1">
      <c r="G834" s="30"/>
    </row>
    <row r="835" ht="15.75" customHeight="1">
      <c r="G835" s="30"/>
    </row>
    <row r="836" ht="15.75" customHeight="1">
      <c r="G836" s="30"/>
    </row>
    <row r="837" ht="15.75" customHeight="1">
      <c r="G837" s="30"/>
    </row>
    <row r="838" ht="15.75" customHeight="1">
      <c r="G838" s="30"/>
    </row>
    <row r="839" ht="15.75" customHeight="1">
      <c r="G839" s="30"/>
    </row>
    <row r="840" ht="15.75" customHeight="1">
      <c r="G840" s="30"/>
    </row>
    <row r="841" ht="15.75" customHeight="1">
      <c r="G841" s="30"/>
    </row>
    <row r="842" ht="15.75" customHeight="1">
      <c r="G842" s="30"/>
    </row>
    <row r="843" ht="15.75" customHeight="1">
      <c r="G843" s="30"/>
    </row>
    <row r="844" ht="15.75" customHeight="1">
      <c r="G844" s="30"/>
    </row>
    <row r="845" ht="15.75" customHeight="1">
      <c r="G845" s="30"/>
    </row>
    <row r="846" ht="15.75" customHeight="1">
      <c r="G846" s="30"/>
    </row>
    <row r="847" ht="15.75" customHeight="1">
      <c r="G847" s="30"/>
    </row>
    <row r="848" ht="15.75" customHeight="1">
      <c r="G848" s="30"/>
    </row>
    <row r="849" ht="15.75" customHeight="1">
      <c r="G849" s="30"/>
    </row>
    <row r="850" ht="15.75" customHeight="1">
      <c r="G850" s="30"/>
    </row>
    <row r="851" ht="15.75" customHeight="1">
      <c r="G851" s="30"/>
    </row>
    <row r="852" ht="15.75" customHeight="1">
      <c r="G852" s="30"/>
    </row>
    <row r="853" ht="15.75" customHeight="1">
      <c r="G853" s="30"/>
    </row>
    <row r="854" ht="15.75" customHeight="1">
      <c r="G854" s="30"/>
    </row>
    <row r="855" ht="15.75" customHeight="1">
      <c r="G855" s="30"/>
    </row>
    <row r="856" ht="15.75" customHeight="1">
      <c r="G856" s="30"/>
    </row>
    <row r="857" ht="15.75" customHeight="1">
      <c r="G857" s="30"/>
    </row>
    <row r="858" ht="15.75" customHeight="1">
      <c r="G858" s="30"/>
    </row>
    <row r="859" ht="15.75" customHeight="1">
      <c r="G859" s="30"/>
    </row>
    <row r="860" ht="15.75" customHeight="1">
      <c r="G860" s="30"/>
    </row>
    <row r="861" ht="15.75" customHeight="1">
      <c r="G861" s="30"/>
    </row>
    <row r="862" ht="15.75" customHeight="1">
      <c r="G862" s="30"/>
    </row>
    <row r="863" ht="15.75" customHeight="1">
      <c r="G863" s="30"/>
    </row>
    <row r="864" ht="15.75" customHeight="1">
      <c r="G864" s="30"/>
    </row>
    <row r="865" ht="15.75" customHeight="1">
      <c r="G865" s="30"/>
    </row>
    <row r="866" ht="15.75" customHeight="1">
      <c r="G866" s="30"/>
    </row>
    <row r="867" ht="15.75" customHeight="1">
      <c r="G867" s="30"/>
    </row>
    <row r="868" ht="15.75" customHeight="1">
      <c r="G868" s="30"/>
    </row>
    <row r="869" ht="15.75" customHeight="1">
      <c r="G869" s="30"/>
    </row>
    <row r="870" ht="15.75" customHeight="1">
      <c r="G870" s="30"/>
    </row>
    <row r="871" ht="15.75" customHeight="1">
      <c r="G871" s="30"/>
    </row>
    <row r="872" ht="15.75" customHeight="1">
      <c r="G872" s="30"/>
    </row>
    <row r="873" ht="15.75" customHeight="1">
      <c r="G873" s="30"/>
    </row>
    <row r="874" ht="15.75" customHeight="1">
      <c r="G874" s="30"/>
    </row>
    <row r="875" ht="15.75" customHeight="1">
      <c r="G875" s="30"/>
    </row>
    <row r="876" ht="15.75" customHeight="1">
      <c r="G876" s="30"/>
    </row>
    <row r="877" ht="15.75" customHeight="1">
      <c r="G877" s="30"/>
    </row>
    <row r="878" ht="15.75" customHeight="1">
      <c r="G878" s="30"/>
    </row>
    <row r="879" ht="15.75" customHeight="1">
      <c r="G879" s="30"/>
    </row>
    <row r="880" ht="15.75" customHeight="1">
      <c r="G880" s="30"/>
    </row>
    <row r="881" ht="15.75" customHeight="1">
      <c r="G881" s="30"/>
    </row>
    <row r="882" ht="15.75" customHeight="1">
      <c r="G882" s="30"/>
    </row>
    <row r="883" ht="15.75" customHeight="1">
      <c r="G883" s="30"/>
    </row>
    <row r="884" ht="15.75" customHeight="1">
      <c r="G884" s="30"/>
    </row>
    <row r="885" ht="15.75" customHeight="1">
      <c r="G885" s="30"/>
    </row>
    <row r="886" ht="15.75" customHeight="1">
      <c r="G886" s="30"/>
    </row>
    <row r="887" ht="15.75" customHeight="1">
      <c r="G887" s="30"/>
    </row>
    <row r="888" ht="15.75" customHeight="1">
      <c r="G888" s="30"/>
    </row>
    <row r="889" ht="15.75" customHeight="1">
      <c r="G889" s="30"/>
    </row>
    <row r="890" ht="15.75" customHeight="1">
      <c r="G890" s="30"/>
    </row>
    <row r="891" ht="15.75" customHeight="1">
      <c r="G891" s="30"/>
    </row>
    <row r="892" ht="15.75" customHeight="1">
      <c r="G892" s="30"/>
    </row>
    <row r="893" ht="15.75" customHeight="1">
      <c r="G893" s="30"/>
    </row>
    <row r="894" ht="15.75" customHeight="1">
      <c r="G894" s="30"/>
    </row>
    <row r="895" ht="15.75" customHeight="1">
      <c r="G895" s="30"/>
    </row>
    <row r="896" ht="15.75" customHeight="1">
      <c r="G896" s="30"/>
    </row>
    <row r="897" ht="15.75" customHeight="1">
      <c r="G897" s="30"/>
    </row>
    <row r="898" ht="15.75" customHeight="1">
      <c r="G898" s="30"/>
    </row>
    <row r="899" ht="15.75" customHeight="1">
      <c r="G899" s="30"/>
    </row>
    <row r="900" ht="15.75" customHeight="1">
      <c r="G900" s="30"/>
    </row>
    <row r="901" ht="15.75" customHeight="1">
      <c r="G901" s="30"/>
    </row>
    <row r="902" ht="15.75" customHeight="1">
      <c r="G902" s="30"/>
    </row>
    <row r="903" ht="15.75" customHeight="1">
      <c r="G903" s="30"/>
    </row>
    <row r="904" ht="15.75" customHeight="1">
      <c r="G904" s="30"/>
    </row>
    <row r="905" ht="15.75" customHeight="1">
      <c r="G905" s="30"/>
    </row>
    <row r="906" ht="15.75" customHeight="1">
      <c r="G906" s="30"/>
    </row>
    <row r="907" ht="15.75" customHeight="1">
      <c r="G907" s="30"/>
    </row>
    <row r="908" ht="15.75" customHeight="1">
      <c r="G908" s="30"/>
    </row>
    <row r="909" ht="15.75" customHeight="1">
      <c r="G909" s="30"/>
    </row>
    <row r="910" ht="15.75" customHeight="1">
      <c r="G910" s="30"/>
    </row>
    <row r="911" ht="15.75" customHeight="1">
      <c r="G911" s="30"/>
    </row>
    <row r="912" ht="15.75" customHeight="1">
      <c r="G912" s="30"/>
    </row>
    <row r="913" ht="15.75" customHeight="1">
      <c r="G913" s="30"/>
    </row>
    <row r="914" ht="15.75" customHeight="1">
      <c r="G914" s="30"/>
    </row>
    <row r="915" ht="15.75" customHeight="1">
      <c r="G915" s="30"/>
    </row>
    <row r="916" ht="15.75" customHeight="1">
      <c r="G916" s="30"/>
    </row>
    <row r="917" ht="15.75" customHeight="1">
      <c r="G917" s="30"/>
    </row>
    <row r="918" ht="15.75" customHeight="1">
      <c r="G918" s="30"/>
    </row>
    <row r="919" ht="15.75" customHeight="1">
      <c r="G919" s="30"/>
    </row>
    <row r="920" ht="15.75" customHeight="1">
      <c r="G920" s="30"/>
    </row>
    <row r="921" ht="15.75" customHeight="1">
      <c r="G921" s="30"/>
    </row>
    <row r="922" ht="15.75" customHeight="1">
      <c r="G922" s="30"/>
    </row>
    <row r="923" ht="15.75" customHeight="1">
      <c r="G923" s="30"/>
    </row>
    <row r="924" ht="15.75" customHeight="1">
      <c r="G924" s="30"/>
    </row>
    <row r="925" ht="15.75" customHeight="1">
      <c r="G925" s="30"/>
    </row>
    <row r="926" ht="15.75" customHeight="1">
      <c r="G926" s="30"/>
    </row>
    <row r="927" ht="15.75" customHeight="1">
      <c r="G927" s="30"/>
    </row>
    <row r="928" ht="15.75" customHeight="1">
      <c r="G928" s="30"/>
    </row>
    <row r="929" ht="15.75" customHeight="1">
      <c r="G929" s="30"/>
    </row>
    <row r="930" ht="15.75" customHeight="1">
      <c r="G930" s="30"/>
    </row>
    <row r="931" ht="15.75" customHeight="1">
      <c r="G931" s="30"/>
    </row>
    <row r="932" ht="15.75" customHeight="1">
      <c r="G932" s="30"/>
    </row>
    <row r="933" ht="15.75" customHeight="1">
      <c r="G933" s="30"/>
    </row>
    <row r="934" ht="15.75" customHeight="1">
      <c r="G934" s="30"/>
    </row>
    <row r="935" ht="15.75" customHeight="1">
      <c r="G935" s="30"/>
    </row>
    <row r="936" ht="15.75" customHeight="1">
      <c r="G936" s="30"/>
    </row>
    <row r="937" ht="15.75" customHeight="1">
      <c r="G937" s="30"/>
    </row>
    <row r="938" ht="15.75" customHeight="1">
      <c r="G938" s="30"/>
    </row>
    <row r="939" ht="15.75" customHeight="1">
      <c r="G939" s="30"/>
    </row>
    <row r="940" ht="15.75" customHeight="1">
      <c r="G940" s="30"/>
    </row>
    <row r="941" ht="15.75" customHeight="1">
      <c r="G941" s="30"/>
    </row>
    <row r="942" ht="15.75" customHeight="1">
      <c r="G942" s="30"/>
    </row>
    <row r="943" ht="15.75" customHeight="1">
      <c r="G943" s="30"/>
    </row>
    <row r="944" ht="15.75" customHeight="1">
      <c r="G944" s="30"/>
    </row>
    <row r="945" ht="15.75" customHeight="1">
      <c r="G945" s="30"/>
    </row>
    <row r="946" ht="15.75" customHeight="1">
      <c r="G946" s="30"/>
    </row>
    <row r="947" ht="15.75" customHeight="1">
      <c r="G947" s="30"/>
    </row>
    <row r="948" ht="15.75" customHeight="1">
      <c r="G948" s="30"/>
    </row>
    <row r="949" ht="15.75" customHeight="1">
      <c r="G949" s="30"/>
    </row>
    <row r="950" ht="15.75" customHeight="1">
      <c r="G950" s="30"/>
    </row>
    <row r="951" ht="15.75" customHeight="1">
      <c r="G951" s="30"/>
    </row>
    <row r="952" ht="15.75" customHeight="1">
      <c r="G952" s="30"/>
    </row>
    <row r="953" ht="15.75" customHeight="1">
      <c r="G953" s="30"/>
    </row>
    <row r="954" ht="15.75" customHeight="1">
      <c r="G954" s="30"/>
    </row>
    <row r="955" ht="15.75" customHeight="1">
      <c r="G955" s="30"/>
    </row>
    <row r="956" ht="15.75" customHeight="1">
      <c r="G956" s="30"/>
    </row>
    <row r="957" ht="15.75" customHeight="1">
      <c r="G957" s="30"/>
    </row>
    <row r="958" ht="15.75" customHeight="1">
      <c r="G958" s="30"/>
    </row>
    <row r="959" ht="15.75" customHeight="1">
      <c r="G959" s="30"/>
    </row>
    <row r="960" ht="15.75" customHeight="1">
      <c r="G960" s="30"/>
    </row>
    <row r="961" ht="15.75" customHeight="1">
      <c r="G961" s="30"/>
    </row>
    <row r="962" ht="15.75" customHeight="1">
      <c r="G962" s="30"/>
    </row>
    <row r="963" ht="15.75" customHeight="1">
      <c r="G963" s="30"/>
    </row>
    <row r="964" ht="15.75" customHeight="1">
      <c r="G964" s="30"/>
    </row>
    <row r="965" ht="15.75" customHeight="1">
      <c r="G965" s="30"/>
    </row>
    <row r="966" ht="15.75" customHeight="1">
      <c r="G966" s="30"/>
    </row>
    <row r="967" ht="15.75" customHeight="1">
      <c r="G967" s="30"/>
    </row>
    <row r="968" ht="15.75" customHeight="1">
      <c r="G968" s="30"/>
    </row>
    <row r="969" ht="15.75" customHeight="1">
      <c r="G969" s="30"/>
    </row>
    <row r="970" ht="15.75" customHeight="1">
      <c r="G970" s="30"/>
    </row>
    <row r="971" ht="15.75" customHeight="1">
      <c r="G971" s="30"/>
    </row>
    <row r="972" ht="15.75" customHeight="1">
      <c r="G972" s="30"/>
    </row>
    <row r="973" ht="15.75" customHeight="1">
      <c r="G973" s="30"/>
    </row>
    <row r="974" ht="15.75" customHeight="1">
      <c r="G974" s="30"/>
    </row>
    <row r="975" ht="15.75" customHeight="1">
      <c r="G975" s="30"/>
    </row>
    <row r="976" ht="15.75" customHeight="1">
      <c r="G976" s="30"/>
    </row>
    <row r="977" ht="15.75" customHeight="1">
      <c r="G977" s="30"/>
    </row>
    <row r="978" ht="15.75" customHeight="1">
      <c r="G978" s="30"/>
    </row>
    <row r="979" ht="15.75" customHeight="1">
      <c r="G979" s="30"/>
    </row>
    <row r="980" ht="15.75" customHeight="1">
      <c r="G980" s="30"/>
    </row>
    <row r="981" ht="15.75" customHeight="1">
      <c r="G981" s="30"/>
    </row>
    <row r="982" ht="15.75" customHeight="1">
      <c r="G982" s="30"/>
    </row>
    <row r="983" ht="15.75" customHeight="1">
      <c r="G983" s="30"/>
    </row>
    <row r="984" ht="15.75" customHeight="1">
      <c r="G984" s="30"/>
    </row>
    <row r="985" ht="15.75" customHeight="1">
      <c r="G985" s="30"/>
    </row>
    <row r="986" ht="15.75" customHeight="1">
      <c r="G986" s="30"/>
    </row>
    <row r="987" ht="15.75" customHeight="1">
      <c r="G987" s="30"/>
    </row>
    <row r="988" ht="15.75" customHeight="1">
      <c r="G988" s="30"/>
    </row>
    <row r="989" ht="15.75" customHeight="1">
      <c r="G989" s="30"/>
    </row>
    <row r="990" ht="15.75" customHeight="1">
      <c r="G990" s="30"/>
    </row>
    <row r="991" ht="15.75" customHeight="1">
      <c r="G991" s="30"/>
    </row>
    <row r="992" ht="15.75" customHeight="1">
      <c r="G992" s="30"/>
    </row>
    <row r="993" ht="15.75" customHeight="1">
      <c r="G993" s="30"/>
    </row>
    <row r="994" ht="15.75" customHeight="1">
      <c r="G994" s="30"/>
    </row>
    <row r="995" ht="15.75" customHeight="1">
      <c r="G995" s="30"/>
    </row>
    <row r="996" ht="15.75" customHeight="1">
      <c r="G996" s="30"/>
    </row>
    <row r="997" ht="15.75" customHeight="1">
      <c r="G997" s="30"/>
    </row>
    <row r="998" ht="15.75" customHeight="1">
      <c r="G998" s="30"/>
    </row>
    <row r="999" ht="15.75" customHeight="1">
      <c r="G999" s="30"/>
    </row>
    <row r="1000" ht="15.75" customHeight="1">
      <c r="G1000" s="3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33" t="s">
        <v>173</v>
      </c>
      <c r="L1" s="33" t="s">
        <v>174</v>
      </c>
      <c r="M1" s="33" t="s">
        <v>175</v>
      </c>
    </row>
    <row r="2" ht="15.75" customHeight="1">
      <c r="A2" s="3">
        <v>119.0</v>
      </c>
      <c r="B2" s="10" t="s">
        <v>38</v>
      </c>
      <c r="C2" s="10" t="s">
        <v>13</v>
      </c>
      <c r="D2" s="10" t="s">
        <v>14</v>
      </c>
      <c r="E2" s="3">
        <v>10.0</v>
      </c>
      <c r="F2" s="3">
        <v>10.0</v>
      </c>
      <c r="G2" s="3">
        <v>2.0</v>
      </c>
      <c r="H2" s="3">
        <v>-1.0</v>
      </c>
      <c r="I2" s="11">
        <f t="shared" ref="I2:I161" si="1">sum(E2,F2)</f>
        <v>20</v>
      </c>
      <c r="J2" s="3">
        <v>120.0</v>
      </c>
      <c r="K2" s="33">
        <v>10.0</v>
      </c>
      <c r="L2" s="33">
        <v>195.0</v>
      </c>
    </row>
    <row r="3" ht="15.75" customHeight="1">
      <c r="A3" s="3">
        <v>125.0</v>
      </c>
      <c r="B3" s="10" t="s">
        <v>172</v>
      </c>
      <c r="C3" s="10" t="s">
        <v>11</v>
      </c>
      <c r="D3" s="10" t="s">
        <v>14</v>
      </c>
      <c r="E3" s="3">
        <v>10.0</v>
      </c>
      <c r="F3" s="3">
        <v>10.0</v>
      </c>
      <c r="G3" s="3">
        <v>9.0</v>
      </c>
      <c r="H3" s="3">
        <v>1.0</v>
      </c>
      <c r="I3" s="11">
        <f t="shared" si="1"/>
        <v>20</v>
      </c>
      <c r="J3" s="3">
        <v>120.0</v>
      </c>
    </row>
    <row r="4" ht="15.75" customHeight="1">
      <c r="A4" s="3">
        <v>141.0</v>
      </c>
      <c r="B4" s="10" t="s">
        <v>20</v>
      </c>
      <c r="C4" s="10" t="s">
        <v>11</v>
      </c>
      <c r="D4" s="10" t="s">
        <v>14</v>
      </c>
      <c r="E4" s="3">
        <v>10.0</v>
      </c>
      <c r="F4" s="3">
        <v>9.0</v>
      </c>
      <c r="G4" s="3">
        <v>1.0</v>
      </c>
      <c r="H4" s="3">
        <v>1.0</v>
      </c>
      <c r="I4" s="11">
        <f t="shared" si="1"/>
        <v>19</v>
      </c>
      <c r="J4" s="3">
        <v>120.0</v>
      </c>
      <c r="K4" s="33">
        <v>12.0</v>
      </c>
      <c r="L4" s="33">
        <v>210.0</v>
      </c>
    </row>
    <row r="5" ht="15.75" customHeight="1">
      <c r="A5" s="3">
        <v>2.0</v>
      </c>
      <c r="B5" s="10" t="s">
        <v>15</v>
      </c>
      <c r="C5" s="10" t="s">
        <v>11</v>
      </c>
      <c r="D5" s="10" t="s">
        <v>14</v>
      </c>
      <c r="E5" s="3">
        <v>9.0</v>
      </c>
      <c r="F5" s="3">
        <v>9.0</v>
      </c>
      <c r="G5" s="3">
        <v>1.0</v>
      </c>
      <c r="H5" s="3">
        <v>-1.0</v>
      </c>
      <c r="I5" s="11">
        <f t="shared" si="1"/>
        <v>18</v>
      </c>
      <c r="J5" s="3">
        <v>120.0</v>
      </c>
    </row>
    <row r="6" ht="15.75" customHeight="1">
      <c r="A6" s="3">
        <v>20.0</v>
      </c>
      <c r="B6" s="10" t="s">
        <v>116</v>
      </c>
      <c r="C6" s="10" t="s">
        <v>11</v>
      </c>
      <c r="D6" s="10" t="s">
        <v>14</v>
      </c>
      <c r="E6" s="3">
        <v>9.0</v>
      </c>
      <c r="F6" s="3">
        <v>9.0</v>
      </c>
      <c r="G6" s="3">
        <v>5.0</v>
      </c>
      <c r="H6" s="3">
        <v>1.0</v>
      </c>
      <c r="I6" s="11">
        <f t="shared" si="1"/>
        <v>18</v>
      </c>
      <c r="J6" s="3">
        <v>120.0</v>
      </c>
    </row>
    <row r="7" ht="15.75" customHeight="1">
      <c r="A7" s="3">
        <v>88.0</v>
      </c>
      <c r="B7" s="10" t="s">
        <v>169</v>
      </c>
      <c r="C7" s="10" t="s">
        <v>11</v>
      </c>
      <c r="D7" s="10" t="s">
        <v>14</v>
      </c>
      <c r="E7" s="3">
        <v>10.0</v>
      </c>
      <c r="F7" s="3">
        <v>8.0</v>
      </c>
      <c r="G7" s="3">
        <v>8.0</v>
      </c>
      <c r="H7" s="3">
        <v>-1.0</v>
      </c>
      <c r="I7" s="11">
        <f t="shared" si="1"/>
        <v>18</v>
      </c>
      <c r="J7" s="3">
        <v>120.0</v>
      </c>
      <c r="K7" s="33">
        <v>20.0</v>
      </c>
      <c r="L7" s="33">
        <v>175.0</v>
      </c>
    </row>
    <row r="8" ht="15.75" customHeight="1">
      <c r="A8" s="3">
        <v>136.0</v>
      </c>
      <c r="B8" s="10" t="s">
        <v>133</v>
      </c>
      <c r="C8" s="10" t="s">
        <v>13</v>
      </c>
      <c r="D8" s="10" t="s">
        <v>14</v>
      </c>
      <c r="E8" s="3">
        <v>9.0</v>
      </c>
      <c r="F8" s="3">
        <v>9.0</v>
      </c>
      <c r="G8" s="3">
        <v>5.0</v>
      </c>
      <c r="H8" s="3">
        <v>1.0</v>
      </c>
      <c r="I8" s="11">
        <f t="shared" si="1"/>
        <v>18</v>
      </c>
      <c r="J8" s="3">
        <v>120.0</v>
      </c>
    </row>
    <row r="9" ht="15.75" customHeight="1">
      <c r="A9" s="3">
        <v>149.0</v>
      </c>
      <c r="B9" s="10" t="s">
        <v>138</v>
      </c>
      <c r="C9" s="10" t="s">
        <v>11</v>
      </c>
      <c r="D9" s="10" t="s">
        <v>14</v>
      </c>
      <c r="E9" s="3">
        <v>10.0</v>
      </c>
      <c r="F9" s="3">
        <v>8.0</v>
      </c>
      <c r="G9" s="3">
        <v>5.0</v>
      </c>
      <c r="H9" s="3">
        <v>1.0</v>
      </c>
      <c r="I9" s="11">
        <f t="shared" si="1"/>
        <v>18</v>
      </c>
      <c r="J9" s="3">
        <v>100.0</v>
      </c>
    </row>
    <row r="10" ht="15.75" customHeight="1">
      <c r="A10" s="3">
        <v>28.0</v>
      </c>
      <c r="B10" s="10" t="s">
        <v>147</v>
      </c>
      <c r="C10" s="10" t="s">
        <v>11</v>
      </c>
      <c r="D10" s="10" t="s">
        <v>14</v>
      </c>
      <c r="E10" s="3">
        <v>8.0</v>
      </c>
      <c r="F10" s="3">
        <v>9.0</v>
      </c>
      <c r="G10" s="3">
        <v>6.0</v>
      </c>
      <c r="H10" s="3">
        <v>1.0</v>
      </c>
      <c r="I10" s="11">
        <f t="shared" si="1"/>
        <v>17</v>
      </c>
      <c r="J10" s="3">
        <v>100.0</v>
      </c>
      <c r="K10" s="33">
        <v>16.0</v>
      </c>
      <c r="L10" s="33">
        <v>175.0</v>
      </c>
    </row>
    <row r="11" ht="15.75" customHeight="1">
      <c r="A11" s="13">
        <v>30.0</v>
      </c>
      <c r="B11" s="12" t="s">
        <v>117</v>
      </c>
      <c r="C11" s="12" t="s">
        <v>13</v>
      </c>
      <c r="D11" s="12" t="s">
        <v>14</v>
      </c>
      <c r="E11" s="13">
        <v>9.0</v>
      </c>
      <c r="F11" s="13">
        <v>8.0</v>
      </c>
      <c r="G11" s="13">
        <v>5.0</v>
      </c>
      <c r="H11" s="13">
        <v>1.0</v>
      </c>
      <c r="I11" s="14">
        <f t="shared" si="1"/>
        <v>17</v>
      </c>
      <c r="J11" s="13">
        <v>120.0</v>
      </c>
      <c r="K11" s="35">
        <v>9.0</v>
      </c>
      <c r="L11" s="35">
        <v>185.0</v>
      </c>
      <c r="M11" s="35">
        <f>185/17</f>
        <v>10.88235294</v>
      </c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ht="15.75" customHeight="1">
      <c r="A12" s="3">
        <v>57.0</v>
      </c>
      <c r="B12" s="10" t="s">
        <v>164</v>
      </c>
      <c r="C12" s="10" t="s">
        <v>11</v>
      </c>
      <c r="D12" s="10" t="s">
        <v>14</v>
      </c>
      <c r="E12" s="3">
        <v>8.0</v>
      </c>
      <c r="F12" s="3">
        <v>9.0</v>
      </c>
      <c r="G12" s="3">
        <v>7.0</v>
      </c>
      <c r="H12" s="3">
        <v>-1.0</v>
      </c>
      <c r="I12" s="11">
        <f t="shared" si="1"/>
        <v>17</v>
      </c>
      <c r="J12" s="3">
        <v>100.0</v>
      </c>
    </row>
    <row r="13" ht="15.75" customHeight="1">
      <c r="A13" s="3">
        <v>71.0</v>
      </c>
      <c r="B13" s="10" t="s">
        <v>142</v>
      </c>
      <c r="C13" s="10" t="s">
        <v>13</v>
      </c>
      <c r="D13" s="10" t="s">
        <v>11</v>
      </c>
      <c r="E13" s="3">
        <v>9.0</v>
      </c>
      <c r="F13" s="3">
        <v>8.0</v>
      </c>
      <c r="G13" s="3">
        <v>6.0</v>
      </c>
      <c r="H13" s="3">
        <v>1.0</v>
      </c>
      <c r="I13" s="11">
        <f t="shared" si="1"/>
        <v>17</v>
      </c>
      <c r="J13" s="3">
        <v>120.0</v>
      </c>
    </row>
    <row r="14" ht="15.75" customHeight="1">
      <c r="A14" s="3">
        <v>90.0</v>
      </c>
      <c r="B14" s="10" t="s">
        <v>170</v>
      </c>
      <c r="C14" s="10" t="s">
        <v>11</v>
      </c>
      <c r="D14" s="10" t="s">
        <v>14</v>
      </c>
      <c r="E14" s="3">
        <v>9.0</v>
      </c>
      <c r="F14" s="3">
        <v>8.0</v>
      </c>
      <c r="G14" s="3">
        <v>8.0</v>
      </c>
      <c r="H14" s="3">
        <v>1.0</v>
      </c>
      <c r="I14" s="11">
        <f t="shared" si="1"/>
        <v>17</v>
      </c>
      <c r="J14" s="3">
        <v>100.0</v>
      </c>
    </row>
    <row r="15" ht="15.75" customHeight="1">
      <c r="A15" s="3">
        <v>99.0</v>
      </c>
      <c r="B15" s="10" t="s">
        <v>157</v>
      </c>
      <c r="C15" s="10" t="s">
        <v>11</v>
      </c>
      <c r="D15" s="10" t="s">
        <v>14</v>
      </c>
      <c r="E15" s="3">
        <v>9.0</v>
      </c>
      <c r="F15" s="3">
        <v>8.0</v>
      </c>
      <c r="G15" s="3">
        <v>6.0</v>
      </c>
      <c r="H15" s="3">
        <v>1.0</v>
      </c>
      <c r="I15" s="11">
        <f t="shared" si="1"/>
        <v>17</v>
      </c>
      <c r="J15" s="3">
        <v>100.0</v>
      </c>
    </row>
    <row r="16" ht="15.75" customHeight="1">
      <c r="A16" s="3">
        <v>153.0</v>
      </c>
      <c r="B16" s="10" t="s">
        <v>21</v>
      </c>
      <c r="C16" s="10" t="s">
        <v>11</v>
      </c>
      <c r="D16" s="10" t="s">
        <v>14</v>
      </c>
      <c r="E16" s="3">
        <v>10.0</v>
      </c>
      <c r="F16" s="3">
        <v>7.0</v>
      </c>
      <c r="G16" s="3">
        <v>1.0</v>
      </c>
      <c r="H16" s="3">
        <v>-1.0</v>
      </c>
      <c r="I16" s="11">
        <f t="shared" si="1"/>
        <v>17</v>
      </c>
      <c r="J16" s="3">
        <v>100.0</v>
      </c>
    </row>
    <row r="17" ht="15.75" customHeight="1">
      <c r="A17" s="3">
        <v>1.0</v>
      </c>
      <c r="B17" s="10" t="s">
        <v>12</v>
      </c>
      <c r="C17" s="10" t="s">
        <v>13</v>
      </c>
      <c r="D17" s="10" t="s">
        <v>14</v>
      </c>
      <c r="E17" s="3">
        <v>8.0</v>
      </c>
      <c r="F17" s="3">
        <v>8.0</v>
      </c>
      <c r="G17" s="3">
        <v>1.0</v>
      </c>
      <c r="H17" s="3">
        <v>-1.0</v>
      </c>
      <c r="I17" s="11">
        <f t="shared" si="1"/>
        <v>16</v>
      </c>
      <c r="J17" s="3">
        <v>100.0</v>
      </c>
    </row>
    <row r="18" ht="15.75" customHeight="1">
      <c r="A18" s="3">
        <v>12.0</v>
      </c>
      <c r="B18" s="10" t="s">
        <v>26</v>
      </c>
      <c r="C18" s="10" t="s">
        <v>13</v>
      </c>
      <c r="D18" s="10" t="s">
        <v>14</v>
      </c>
      <c r="E18" s="3">
        <v>8.0</v>
      </c>
      <c r="F18" s="3">
        <v>8.0</v>
      </c>
      <c r="G18" s="3">
        <v>2.0</v>
      </c>
      <c r="H18" s="3">
        <v>1.0</v>
      </c>
      <c r="I18" s="11">
        <f t="shared" si="1"/>
        <v>16</v>
      </c>
      <c r="J18" s="3">
        <v>100.0</v>
      </c>
      <c r="K18" s="33">
        <v>1.0</v>
      </c>
      <c r="L18" s="33">
        <v>175.0</v>
      </c>
    </row>
    <row r="19" ht="15.75" customHeight="1">
      <c r="A19" s="3">
        <v>18.0</v>
      </c>
      <c r="B19" s="10" t="s">
        <v>145</v>
      </c>
      <c r="C19" s="10" t="s">
        <v>11</v>
      </c>
      <c r="D19" s="10" t="s">
        <v>14</v>
      </c>
      <c r="E19" s="3">
        <v>8.0</v>
      </c>
      <c r="F19" s="3">
        <v>8.0</v>
      </c>
      <c r="G19" s="3">
        <v>6.0</v>
      </c>
      <c r="H19" s="3">
        <v>-1.0</v>
      </c>
      <c r="I19" s="11">
        <f t="shared" si="1"/>
        <v>16</v>
      </c>
      <c r="J19" s="3">
        <v>100.0</v>
      </c>
    </row>
    <row r="20" ht="15.75" customHeight="1">
      <c r="A20" s="3">
        <v>33.0</v>
      </c>
      <c r="B20" s="10" t="s">
        <v>50</v>
      </c>
      <c r="C20" s="10" t="s">
        <v>11</v>
      </c>
      <c r="D20" s="10" t="s">
        <v>14</v>
      </c>
      <c r="E20" s="3">
        <v>8.0</v>
      </c>
      <c r="F20" s="3">
        <v>8.0</v>
      </c>
      <c r="G20" s="3">
        <v>3.0</v>
      </c>
      <c r="H20" s="3">
        <v>1.0</v>
      </c>
      <c r="I20" s="11">
        <f t="shared" si="1"/>
        <v>16</v>
      </c>
      <c r="J20" s="3">
        <v>100.0</v>
      </c>
    </row>
    <row r="21" ht="15.75" customHeight="1">
      <c r="A21" s="3">
        <v>37.0</v>
      </c>
      <c r="B21" s="10" t="s">
        <v>10</v>
      </c>
      <c r="C21" s="10" t="s">
        <v>11</v>
      </c>
      <c r="D21" s="10" t="s">
        <v>11</v>
      </c>
      <c r="E21" s="3">
        <v>8.0</v>
      </c>
      <c r="F21" s="3">
        <v>8.0</v>
      </c>
      <c r="G21" s="3">
        <v>1.0</v>
      </c>
      <c r="H21" s="3">
        <v>-1.0</v>
      </c>
      <c r="I21" s="11">
        <f t="shared" si="1"/>
        <v>16</v>
      </c>
      <c r="J21" s="3">
        <v>100.0</v>
      </c>
      <c r="K21" s="33">
        <v>18.0</v>
      </c>
      <c r="L21" s="33">
        <v>195.0</v>
      </c>
    </row>
    <row r="22" ht="15.75" customHeight="1">
      <c r="A22" s="3">
        <v>38.0</v>
      </c>
      <c r="B22" s="10" t="s">
        <v>84</v>
      </c>
      <c r="C22" s="10" t="s">
        <v>11</v>
      </c>
      <c r="D22" s="10" t="s">
        <v>14</v>
      </c>
      <c r="E22" s="3">
        <v>8.0</v>
      </c>
      <c r="F22" s="3">
        <v>8.0</v>
      </c>
      <c r="G22" s="3">
        <v>4.0</v>
      </c>
      <c r="H22" s="3">
        <v>-1.0</v>
      </c>
      <c r="I22" s="11">
        <f t="shared" si="1"/>
        <v>16</v>
      </c>
      <c r="J22" s="3">
        <v>100.0</v>
      </c>
      <c r="K22" s="33">
        <v>10.0</v>
      </c>
      <c r="L22" s="33">
        <v>180.0</v>
      </c>
    </row>
    <row r="23" ht="15.75" customHeight="1">
      <c r="A23" s="3">
        <v>41.0</v>
      </c>
      <c r="B23" s="10" t="s">
        <v>162</v>
      </c>
      <c r="C23" s="10" t="s">
        <v>11</v>
      </c>
      <c r="D23" s="10" t="s">
        <v>14</v>
      </c>
      <c r="E23" s="3">
        <v>8.0</v>
      </c>
      <c r="F23" s="3">
        <v>8.0</v>
      </c>
      <c r="G23" s="3">
        <v>7.0</v>
      </c>
      <c r="H23" s="3">
        <v>1.0</v>
      </c>
      <c r="I23" s="11">
        <f t="shared" si="1"/>
        <v>16</v>
      </c>
      <c r="J23" s="3">
        <v>100.0</v>
      </c>
    </row>
    <row r="24" ht="15.75" customHeight="1">
      <c r="A24" s="3">
        <v>48.0</v>
      </c>
      <c r="B24" s="10" t="s">
        <v>118</v>
      </c>
      <c r="C24" s="10" t="s">
        <v>11</v>
      </c>
      <c r="D24" s="10" t="s">
        <v>14</v>
      </c>
      <c r="E24" s="3">
        <v>8.0</v>
      </c>
      <c r="F24" s="3">
        <v>8.0</v>
      </c>
      <c r="G24" s="3">
        <v>5.0</v>
      </c>
      <c r="H24" s="3">
        <v>-1.0</v>
      </c>
      <c r="I24" s="11">
        <f t="shared" si="1"/>
        <v>16</v>
      </c>
      <c r="J24" s="3">
        <v>100.0</v>
      </c>
    </row>
    <row r="25" ht="15.75" customHeight="1">
      <c r="A25" s="3">
        <v>49.0</v>
      </c>
      <c r="B25" s="10" t="s">
        <v>119</v>
      </c>
      <c r="C25" s="10" t="s">
        <v>13</v>
      </c>
      <c r="D25" s="10" t="s">
        <v>14</v>
      </c>
      <c r="E25" s="3">
        <v>8.0</v>
      </c>
      <c r="F25" s="3">
        <v>8.0</v>
      </c>
      <c r="G25" s="3">
        <v>5.0</v>
      </c>
      <c r="H25" s="3">
        <v>1.0</v>
      </c>
      <c r="I25" s="11">
        <f t="shared" si="1"/>
        <v>16</v>
      </c>
      <c r="J25" s="3">
        <v>100.0</v>
      </c>
    </row>
    <row r="26" ht="15.75" customHeight="1">
      <c r="A26" s="3">
        <v>51.0</v>
      </c>
      <c r="B26" s="10" t="s">
        <v>30</v>
      </c>
      <c r="C26" s="10" t="s">
        <v>13</v>
      </c>
      <c r="D26" s="10" t="s">
        <v>14</v>
      </c>
      <c r="E26" s="3">
        <v>8.0</v>
      </c>
      <c r="F26" s="3">
        <v>8.0</v>
      </c>
      <c r="G26" s="3">
        <v>2.0</v>
      </c>
      <c r="H26" s="3">
        <v>1.0</v>
      </c>
      <c r="I26" s="11">
        <f t="shared" si="1"/>
        <v>16</v>
      </c>
      <c r="J26" s="3">
        <v>100.0</v>
      </c>
    </row>
    <row r="27" ht="15.75" customHeight="1">
      <c r="A27" s="3">
        <v>91.0</v>
      </c>
      <c r="B27" s="10" t="s">
        <v>153</v>
      </c>
      <c r="C27" s="10" t="s">
        <v>11</v>
      </c>
      <c r="D27" s="10" t="s">
        <v>14</v>
      </c>
      <c r="E27" s="3">
        <v>8.0</v>
      </c>
      <c r="F27" s="3">
        <v>8.0</v>
      </c>
      <c r="G27" s="3">
        <v>6.0</v>
      </c>
      <c r="H27" s="3">
        <v>1.0</v>
      </c>
      <c r="I27" s="11">
        <f t="shared" si="1"/>
        <v>16</v>
      </c>
      <c r="J27" s="3">
        <v>100.0</v>
      </c>
    </row>
    <row r="28" ht="15.75" customHeight="1">
      <c r="A28" s="3">
        <v>101.0</v>
      </c>
      <c r="B28" s="10" t="s">
        <v>110</v>
      </c>
      <c r="C28" s="10" t="s">
        <v>11</v>
      </c>
      <c r="D28" s="10" t="s">
        <v>11</v>
      </c>
      <c r="E28" s="3">
        <v>8.0</v>
      </c>
      <c r="F28" s="3">
        <v>8.0</v>
      </c>
      <c r="G28" s="3">
        <v>5.0</v>
      </c>
      <c r="H28" s="3">
        <v>1.0</v>
      </c>
      <c r="I28" s="11">
        <f t="shared" si="1"/>
        <v>16</v>
      </c>
      <c r="J28" s="3">
        <v>100.0</v>
      </c>
    </row>
    <row r="29" ht="15.75" customHeight="1">
      <c r="A29" s="3">
        <v>121.0</v>
      </c>
      <c r="B29" s="10" t="s">
        <v>165</v>
      </c>
      <c r="C29" s="10" t="s">
        <v>11</v>
      </c>
      <c r="D29" s="10" t="s">
        <v>14</v>
      </c>
      <c r="E29" s="3">
        <v>8.0</v>
      </c>
      <c r="F29" s="3">
        <v>8.0</v>
      </c>
      <c r="G29" s="3">
        <v>7.0</v>
      </c>
      <c r="H29" s="3">
        <v>-1.0</v>
      </c>
      <c r="I29" s="11">
        <f t="shared" si="1"/>
        <v>16</v>
      </c>
      <c r="J29" s="3">
        <v>100.0</v>
      </c>
    </row>
    <row r="30" ht="15.75" customHeight="1">
      <c r="A30" s="3">
        <v>124.0</v>
      </c>
      <c r="B30" s="10" t="s">
        <v>102</v>
      </c>
      <c r="C30" s="10" t="s">
        <v>11</v>
      </c>
      <c r="D30" s="10" t="s">
        <v>14</v>
      </c>
      <c r="E30" s="3">
        <v>8.0</v>
      </c>
      <c r="F30" s="3">
        <v>8.0</v>
      </c>
      <c r="G30" s="3">
        <v>4.0</v>
      </c>
      <c r="H30" s="3">
        <v>1.0</v>
      </c>
      <c r="I30" s="11">
        <f t="shared" si="1"/>
        <v>16</v>
      </c>
      <c r="J30" s="3">
        <v>100.0</v>
      </c>
    </row>
    <row r="31" ht="15.75" customHeight="1">
      <c r="A31" s="3">
        <v>155.0</v>
      </c>
      <c r="B31" s="10" t="s">
        <v>105</v>
      </c>
      <c r="C31" s="10" t="s">
        <v>11</v>
      </c>
      <c r="D31" s="10" t="s">
        <v>14</v>
      </c>
      <c r="E31" s="3">
        <v>8.0</v>
      </c>
      <c r="F31" s="3">
        <v>8.0</v>
      </c>
      <c r="G31" s="3">
        <v>4.0</v>
      </c>
      <c r="H31" s="3">
        <v>-1.0</v>
      </c>
      <c r="I31" s="11">
        <f t="shared" si="1"/>
        <v>16</v>
      </c>
      <c r="J31" s="3">
        <v>100.0</v>
      </c>
      <c r="K31" s="33">
        <v>20.0</v>
      </c>
      <c r="L31" s="33">
        <v>185.0</v>
      </c>
    </row>
    <row r="32" ht="15.75" customHeight="1">
      <c r="A32" s="3">
        <v>22.0</v>
      </c>
      <c r="B32" s="10" t="s">
        <v>146</v>
      </c>
      <c r="C32" s="10" t="s">
        <v>11</v>
      </c>
      <c r="D32" s="10" t="s">
        <v>14</v>
      </c>
      <c r="E32" s="3">
        <v>9.0</v>
      </c>
      <c r="F32" s="3">
        <v>6.0</v>
      </c>
      <c r="G32" s="3">
        <v>6.0</v>
      </c>
      <c r="H32" s="3">
        <v>1.0</v>
      </c>
      <c r="I32" s="11">
        <f t="shared" si="1"/>
        <v>15</v>
      </c>
      <c r="J32" s="3">
        <v>80.0</v>
      </c>
    </row>
    <row r="33" ht="15.75" customHeight="1">
      <c r="A33" s="3">
        <v>45.0</v>
      </c>
      <c r="B33" s="10" t="s">
        <v>55</v>
      </c>
      <c r="C33" s="10" t="s">
        <v>11</v>
      </c>
      <c r="D33" s="10" t="s">
        <v>14</v>
      </c>
      <c r="E33" s="3">
        <v>8.0</v>
      </c>
      <c r="F33" s="3">
        <v>7.0</v>
      </c>
      <c r="G33" s="3">
        <v>3.0</v>
      </c>
      <c r="H33" s="3">
        <v>1.0</v>
      </c>
      <c r="I33" s="11">
        <f t="shared" si="1"/>
        <v>15</v>
      </c>
      <c r="J33" s="3">
        <v>80.0</v>
      </c>
      <c r="K33" s="33">
        <v>13.0</v>
      </c>
      <c r="L33" s="33">
        <v>165.0</v>
      </c>
    </row>
    <row r="34" ht="15.75" customHeight="1">
      <c r="A34" s="3">
        <v>60.0</v>
      </c>
      <c r="B34" s="10" t="s">
        <v>151</v>
      </c>
      <c r="C34" s="10" t="s">
        <v>11</v>
      </c>
      <c r="D34" s="10" t="s">
        <v>14</v>
      </c>
      <c r="E34" s="3">
        <v>8.0</v>
      </c>
      <c r="F34" s="3">
        <v>7.0</v>
      </c>
      <c r="G34" s="3">
        <v>6.0</v>
      </c>
      <c r="H34" s="3">
        <v>-1.0</v>
      </c>
      <c r="I34" s="11">
        <f t="shared" si="1"/>
        <v>15</v>
      </c>
      <c r="J34" s="3">
        <v>80.0</v>
      </c>
    </row>
    <row r="35" ht="15.75" customHeight="1">
      <c r="A35" s="3">
        <v>62.0</v>
      </c>
      <c r="B35" s="10" t="s">
        <v>32</v>
      </c>
      <c r="C35" s="10" t="s">
        <v>13</v>
      </c>
      <c r="D35" s="10" t="s">
        <v>14</v>
      </c>
      <c r="E35" s="3">
        <v>8.0</v>
      </c>
      <c r="F35" s="3">
        <v>7.0</v>
      </c>
      <c r="G35" s="3">
        <v>2.0</v>
      </c>
      <c r="H35" s="3">
        <v>-1.0</v>
      </c>
      <c r="I35" s="11">
        <f t="shared" si="1"/>
        <v>15</v>
      </c>
      <c r="J35" s="3">
        <v>80.0</v>
      </c>
    </row>
    <row r="36" ht="15.75" customHeight="1">
      <c r="A36" s="3">
        <v>64.0</v>
      </c>
      <c r="B36" s="10" t="s">
        <v>34</v>
      </c>
      <c r="C36" s="10" t="s">
        <v>13</v>
      </c>
      <c r="D36" s="10" t="s">
        <v>14</v>
      </c>
      <c r="E36" s="3">
        <v>8.0</v>
      </c>
      <c r="F36" s="3">
        <v>7.0</v>
      </c>
      <c r="G36" s="3">
        <v>2.0</v>
      </c>
      <c r="H36" s="3">
        <v>1.0</v>
      </c>
      <c r="I36" s="11">
        <f t="shared" si="1"/>
        <v>15</v>
      </c>
      <c r="J36" s="3">
        <v>80.0</v>
      </c>
      <c r="K36" s="33">
        <v>13.0</v>
      </c>
      <c r="L36" s="33">
        <v>175.0</v>
      </c>
    </row>
    <row r="37" ht="15.75" customHeight="1">
      <c r="A37" s="3">
        <v>67.0</v>
      </c>
      <c r="B37" s="10" t="s">
        <v>123</v>
      </c>
      <c r="C37" s="10" t="s">
        <v>11</v>
      </c>
      <c r="D37" s="10" t="s">
        <v>14</v>
      </c>
      <c r="E37" s="3">
        <v>7.0</v>
      </c>
      <c r="F37" s="3">
        <v>8.0</v>
      </c>
      <c r="G37" s="3">
        <v>5.0</v>
      </c>
      <c r="H37" s="3">
        <v>1.0</v>
      </c>
      <c r="I37" s="11">
        <f t="shared" si="1"/>
        <v>15</v>
      </c>
      <c r="J37" s="3">
        <v>80.0</v>
      </c>
    </row>
    <row r="38" ht="15.75" customHeight="1">
      <c r="A38" s="3">
        <v>70.0</v>
      </c>
      <c r="B38" s="10" t="s">
        <v>88</v>
      </c>
      <c r="C38" s="10" t="s">
        <v>11</v>
      </c>
      <c r="D38" s="10" t="s">
        <v>14</v>
      </c>
      <c r="E38" s="3">
        <v>8.0</v>
      </c>
      <c r="F38" s="3">
        <v>7.0</v>
      </c>
      <c r="G38" s="3">
        <v>4.0</v>
      </c>
      <c r="H38" s="3">
        <v>-1.0</v>
      </c>
      <c r="I38" s="11">
        <f t="shared" si="1"/>
        <v>15</v>
      </c>
      <c r="J38" s="3">
        <v>80.0</v>
      </c>
    </row>
    <row r="39" ht="15.75" customHeight="1">
      <c r="A39" s="3">
        <v>72.0</v>
      </c>
      <c r="B39" s="10" t="s">
        <v>89</v>
      </c>
      <c r="C39" s="10" t="s">
        <v>11</v>
      </c>
      <c r="D39" s="10" t="s">
        <v>14</v>
      </c>
      <c r="E39" s="3">
        <v>8.0</v>
      </c>
      <c r="F39" s="3">
        <v>7.0</v>
      </c>
      <c r="G39" s="3">
        <v>4.0</v>
      </c>
      <c r="H39" s="3">
        <v>1.0</v>
      </c>
      <c r="I39" s="11">
        <f t="shared" si="1"/>
        <v>15</v>
      </c>
      <c r="J39" s="3">
        <v>100.0</v>
      </c>
    </row>
    <row r="40" ht="15.75" customHeight="1">
      <c r="A40" s="3">
        <v>74.0</v>
      </c>
      <c r="B40" s="10" t="s">
        <v>90</v>
      </c>
      <c r="C40" s="10" t="s">
        <v>13</v>
      </c>
      <c r="D40" s="10" t="s">
        <v>14</v>
      </c>
      <c r="E40" s="3">
        <v>9.0</v>
      </c>
      <c r="F40" s="3">
        <v>6.0</v>
      </c>
      <c r="G40" s="3">
        <v>4.0</v>
      </c>
      <c r="H40" s="3">
        <v>-1.0</v>
      </c>
      <c r="I40" s="11">
        <f t="shared" si="1"/>
        <v>15</v>
      </c>
      <c r="J40" s="3">
        <v>100.0</v>
      </c>
    </row>
    <row r="41" ht="15.75" customHeight="1">
      <c r="A41" s="3">
        <v>78.0</v>
      </c>
      <c r="B41" s="10" t="s">
        <v>91</v>
      </c>
      <c r="C41" s="10" t="s">
        <v>13</v>
      </c>
      <c r="D41" s="10" t="s">
        <v>14</v>
      </c>
      <c r="E41" s="3">
        <v>7.0</v>
      </c>
      <c r="F41" s="3">
        <v>8.0</v>
      </c>
      <c r="G41" s="3">
        <v>4.0</v>
      </c>
      <c r="H41" s="3">
        <v>1.0</v>
      </c>
      <c r="I41" s="11">
        <f t="shared" si="1"/>
        <v>15</v>
      </c>
      <c r="J41" s="3">
        <v>80.0</v>
      </c>
    </row>
    <row r="42" ht="15.75" customHeight="1">
      <c r="A42" s="3">
        <v>83.0</v>
      </c>
      <c r="B42" s="10" t="s">
        <v>36</v>
      </c>
      <c r="C42" s="10" t="s">
        <v>11</v>
      </c>
      <c r="D42" s="10" t="s">
        <v>14</v>
      </c>
      <c r="E42" s="3">
        <v>7.0</v>
      </c>
      <c r="F42" s="3">
        <v>8.0</v>
      </c>
      <c r="G42" s="3">
        <v>2.0</v>
      </c>
      <c r="H42" s="3">
        <v>1.0</v>
      </c>
      <c r="I42" s="11">
        <f t="shared" si="1"/>
        <v>15</v>
      </c>
      <c r="J42" s="3">
        <v>80.0</v>
      </c>
    </row>
    <row r="43" ht="15.75" customHeight="1">
      <c r="A43" s="3">
        <v>86.0</v>
      </c>
      <c r="B43" s="10" t="s">
        <v>125</v>
      </c>
      <c r="C43" s="10" t="s">
        <v>11</v>
      </c>
      <c r="D43" s="10" t="s">
        <v>14</v>
      </c>
      <c r="E43" s="3">
        <v>8.0</v>
      </c>
      <c r="F43" s="3">
        <v>7.0</v>
      </c>
      <c r="G43" s="3">
        <v>5.0</v>
      </c>
      <c r="H43" s="3">
        <v>1.0</v>
      </c>
      <c r="I43" s="11">
        <f t="shared" si="1"/>
        <v>15</v>
      </c>
      <c r="J43" s="3">
        <v>80.0</v>
      </c>
      <c r="K43" s="33">
        <v>18.0</v>
      </c>
      <c r="L43" s="33">
        <v>150.0</v>
      </c>
    </row>
    <row r="44" ht="15.75" customHeight="1">
      <c r="A44" s="3">
        <v>122.0</v>
      </c>
      <c r="B44" s="10" t="s">
        <v>166</v>
      </c>
      <c r="C44" s="10" t="s">
        <v>11</v>
      </c>
      <c r="D44" s="10" t="s">
        <v>14</v>
      </c>
      <c r="E44" s="3">
        <v>7.0</v>
      </c>
      <c r="F44" s="3">
        <v>8.0</v>
      </c>
      <c r="G44" s="3">
        <v>7.0</v>
      </c>
      <c r="H44" s="3">
        <v>1.0</v>
      </c>
      <c r="I44" s="11">
        <f t="shared" si="1"/>
        <v>15</v>
      </c>
      <c r="J44" s="3">
        <v>80.0</v>
      </c>
    </row>
    <row r="45" ht="15.75" customHeight="1">
      <c r="A45" s="3">
        <v>146.0</v>
      </c>
      <c r="B45" s="10" t="s">
        <v>137</v>
      </c>
      <c r="C45" s="10" t="s">
        <v>11</v>
      </c>
      <c r="D45" s="10" t="s">
        <v>14</v>
      </c>
      <c r="E45" s="3">
        <v>7.0</v>
      </c>
      <c r="F45" s="3">
        <v>8.0</v>
      </c>
      <c r="G45" s="3">
        <v>5.0</v>
      </c>
      <c r="H45" s="3">
        <v>1.0</v>
      </c>
      <c r="I45" s="11">
        <f t="shared" si="1"/>
        <v>15</v>
      </c>
      <c r="J45" s="3">
        <v>100.0</v>
      </c>
    </row>
    <row r="46" ht="15.75" customHeight="1">
      <c r="A46" s="3">
        <v>151.0</v>
      </c>
      <c r="B46" s="10" t="s">
        <v>72</v>
      </c>
      <c r="C46" s="10" t="s">
        <v>11</v>
      </c>
      <c r="D46" s="10" t="s">
        <v>14</v>
      </c>
      <c r="E46" s="3">
        <v>9.0</v>
      </c>
      <c r="F46" s="3">
        <v>6.0</v>
      </c>
      <c r="G46" s="3">
        <v>3.0</v>
      </c>
      <c r="H46" s="3">
        <v>1.0</v>
      </c>
      <c r="I46" s="11">
        <f t="shared" si="1"/>
        <v>15</v>
      </c>
      <c r="J46" s="3">
        <v>80.0</v>
      </c>
    </row>
    <row r="47" ht="15.75" customHeight="1">
      <c r="A47" s="3">
        <v>154.0</v>
      </c>
      <c r="B47" s="10" t="s">
        <v>39</v>
      </c>
      <c r="C47" s="10" t="s">
        <v>13</v>
      </c>
      <c r="D47" s="10" t="s">
        <v>14</v>
      </c>
      <c r="E47" s="3">
        <v>8.0</v>
      </c>
      <c r="F47" s="3">
        <v>7.0</v>
      </c>
      <c r="G47" s="3">
        <v>2.0</v>
      </c>
      <c r="H47" s="3">
        <v>1.0</v>
      </c>
      <c r="I47" s="11">
        <f t="shared" si="1"/>
        <v>15</v>
      </c>
      <c r="J47" s="3">
        <v>80.0</v>
      </c>
      <c r="K47" s="33">
        <v>11.0</v>
      </c>
      <c r="L47" s="33">
        <v>160.0</v>
      </c>
    </row>
    <row r="48" ht="15.75" customHeight="1">
      <c r="A48" s="3">
        <v>4.0</v>
      </c>
      <c r="B48" s="10" t="s">
        <v>16</v>
      </c>
      <c r="C48" s="10" t="s">
        <v>13</v>
      </c>
      <c r="D48" s="10" t="s">
        <v>14</v>
      </c>
      <c r="E48" s="3">
        <v>8.0</v>
      </c>
      <c r="F48" s="3">
        <v>6.0</v>
      </c>
      <c r="G48" s="3">
        <v>1.0</v>
      </c>
      <c r="H48" s="3">
        <v>-1.0</v>
      </c>
      <c r="I48" s="11">
        <f t="shared" si="1"/>
        <v>14</v>
      </c>
      <c r="J48" s="3">
        <v>80.0</v>
      </c>
    </row>
    <row r="49" ht="15.75" customHeight="1">
      <c r="A49" s="3">
        <v>8.0</v>
      </c>
      <c r="B49" s="10" t="s">
        <v>80</v>
      </c>
      <c r="C49" s="10" t="s">
        <v>13</v>
      </c>
      <c r="D49" s="10" t="s">
        <v>14</v>
      </c>
      <c r="E49" s="3">
        <v>7.0</v>
      </c>
      <c r="F49" s="3">
        <v>7.0</v>
      </c>
      <c r="G49" s="3">
        <v>4.0</v>
      </c>
      <c r="H49" s="3">
        <v>1.0</v>
      </c>
      <c r="I49" s="11">
        <f t="shared" si="1"/>
        <v>14</v>
      </c>
      <c r="J49" s="3">
        <v>80.0</v>
      </c>
    </row>
    <row r="50" ht="15.75" customHeight="1">
      <c r="A50" s="3">
        <v>11.0</v>
      </c>
      <c r="B50" s="10" t="s">
        <v>113</v>
      </c>
      <c r="C50" s="10" t="s">
        <v>11</v>
      </c>
      <c r="D50" s="10" t="s">
        <v>14</v>
      </c>
      <c r="E50" s="3">
        <v>7.0</v>
      </c>
      <c r="F50" s="3">
        <v>7.0</v>
      </c>
      <c r="G50" s="3">
        <v>5.0</v>
      </c>
      <c r="H50" s="3">
        <v>-1.0</v>
      </c>
      <c r="I50" s="11">
        <f t="shared" si="1"/>
        <v>14</v>
      </c>
      <c r="J50" s="3">
        <v>80.0</v>
      </c>
    </row>
    <row r="51" ht="15.75" customHeight="1">
      <c r="A51" s="3">
        <v>15.0</v>
      </c>
      <c r="B51" s="10" t="s">
        <v>115</v>
      </c>
      <c r="C51" s="10" t="s">
        <v>13</v>
      </c>
      <c r="D51" s="10" t="s">
        <v>14</v>
      </c>
      <c r="E51" s="3">
        <v>7.0</v>
      </c>
      <c r="F51" s="3">
        <v>7.0</v>
      </c>
      <c r="G51" s="3">
        <v>5.0</v>
      </c>
      <c r="H51" s="3">
        <v>1.0</v>
      </c>
      <c r="I51" s="11">
        <f t="shared" si="1"/>
        <v>14</v>
      </c>
      <c r="J51" s="3">
        <v>80.0</v>
      </c>
    </row>
    <row r="52" ht="15.75" customHeight="1">
      <c r="A52" s="3">
        <v>16.0</v>
      </c>
      <c r="B52" s="10" t="s">
        <v>144</v>
      </c>
      <c r="C52" s="10" t="s">
        <v>11</v>
      </c>
      <c r="D52" s="10" t="s">
        <v>14</v>
      </c>
      <c r="E52" s="3">
        <v>7.0</v>
      </c>
      <c r="F52" s="3">
        <v>7.0</v>
      </c>
      <c r="G52" s="3">
        <v>6.0</v>
      </c>
      <c r="H52" s="3">
        <v>-1.0</v>
      </c>
      <c r="I52" s="11">
        <f t="shared" si="1"/>
        <v>14</v>
      </c>
      <c r="J52" s="3">
        <v>80.0</v>
      </c>
      <c r="K52" s="33">
        <v>12.0</v>
      </c>
      <c r="L52" s="33">
        <v>120.0</v>
      </c>
    </row>
    <row r="53" ht="15.75" customHeight="1">
      <c r="A53" s="3">
        <v>35.0</v>
      </c>
      <c r="B53" s="10" t="s">
        <v>148</v>
      </c>
      <c r="C53" s="10" t="s">
        <v>11</v>
      </c>
      <c r="D53" s="10" t="s">
        <v>14</v>
      </c>
      <c r="E53" s="3">
        <v>7.0</v>
      </c>
      <c r="F53" s="3">
        <v>7.0</v>
      </c>
      <c r="G53" s="3">
        <v>6.0</v>
      </c>
      <c r="H53" s="3">
        <v>1.0</v>
      </c>
      <c r="I53" s="11">
        <f t="shared" si="1"/>
        <v>14</v>
      </c>
      <c r="J53" s="3">
        <v>80.0</v>
      </c>
    </row>
    <row r="54" ht="15.75" customHeight="1">
      <c r="A54" s="3">
        <v>44.0</v>
      </c>
      <c r="B54" s="10" t="s">
        <v>150</v>
      </c>
      <c r="C54" s="10" t="s">
        <v>11</v>
      </c>
      <c r="D54" s="10" t="s">
        <v>14</v>
      </c>
      <c r="E54" s="3">
        <v>7.0</v>
      </c>
      <c r="F54" s="3">
        <v>7.0</v>
      </c>
      <c r="G54" s="3">
        <v>6.0</v>
      </c>
      <c r="H54" s="3">
        <v>-1.0</v>
      </c>
      <c r="I54" s="11">
        <f t="shared" si="1"/>
        <v>14</v>
      </c>
      <c r="J54" s="3">
        <v>80.0</v>
      </c>
    </row>
    <row r="55" ht="15.75" customHeight="1">
      <c r="A55" s="3">
        <v>82.0</v>
      </c>
      <c r="B55" s="10" t="s">
        <v>61</v>
      </c>
      <c r="C55" s="10" t="s">
        <v>11</v>
      </c>
      <c r="D55" s="10" t="s">
        <v>14</v>
      </c>
      <c r="E55" s="3">
        <v>6.0</v>
      </c>
      <c r="F55" s="3">
        <v>8.0</v>
      </c>
      <c r="G55" s="3">
        <v>3.0</v>
      </c>
      <c r="H55" s="3">
        <v>-1.0</v>
      </c>
      <c r="I55" s="11">
        <f t="shared" si="1"/>
        <v>14</v>
      </c>
      <c r="J55" s="3">
        <v>80.0</v>
      </c>
    </row>
    <row r="56" ht="15.75" customHeight="1">
      <c r="A56" s="3">
        <v>84.0</v>
      </c>
      <c r="B56" s="10" t="s">
        <v>93</v>
      </c>
      <c r="C56" s="10" t="s">
        <v>11</v>
      </c>
      <c r="D56" s="10" t="s">
        <v>14</v>
      </c>
      <c r="E56" s="3">
        <v>7.0</v>
      </c>
      <c r="F56" s="3">
        <v>7.0</v>
      </c>
      <c r="G56" s="3">
        <v>4.0</v>
      </c>
      <c r="H56" s="3">
        <v>-1.0</v>
      </c>
      <c r="I56" s="11">
        <f t="shared" si="1"/>
        <v>14</v>
      </c>
      <c r="J56" s="3">
        <v>80.0</v>
      </c>
    </row>
    <row r="57" ht="15.75" customHeight="1">
      <c r="A57" s="3">
        <v>100.0</v>
      </c>
      <c r="B57" s="10" t="s">
        <v>96</v>
      </c>
      <c r="C57" s="10" t="s">
        <v>11</v>
      </c>
      <c r="D57" s="10" t="s">
        <v>14</v>
      </c>
      <c r="E57" s="3">
        <v>7.0</v>
      </c>
      <c r="F57" s="3">
        <v>7.0</v>
      </c>
      <c r="G57" s="3">
        <v>4.0</v>
      </c>
      <c r="H57" s="3">
        <v>1.0</v>
      </c>
      <c r="I57" s="11">
        <f t="shared" si="1"/>
        <v>14</v>
      </c>
      <c r="J57" s="3">
        <v>80.0</v>
      </c>
    </row>
    <row r="58" ht="15.75" customHeight="1">
      <c r="A58" s="3">
        <v>117.0</v>
      </c>
      <c r="B58" s="10" t="s">
        <v>67</v>
      </c>
      <c r="C58" s="10" t="s">
        <v>11</v>
      </c>
      <c r="D58" s="10" t="s">
        <v>14</v>
      </c>
      <c r="E58" s="3">
        <v>7.0</v>
      </c>
      <c r="F58" s="3">
        <v>7.0</v>
      </c>
      <c r="G58" s="3">
        <v>3.0</v>
      </c>
      <c r="H58" s="3">
        <v>-1.0</v>
      </c>
      <c r="I58" s="11">
        <f t="shared" si="1"/>
        <v>14</v>
      </c>
      <c r="J58" s="3">
        <v>80.0</v>
      </c>
    </row>
    <row r="59" ht="15.75" customHeight="1">
      <c r="A59" s="3">
        <v>140.0</v>
      </c>
      <c r="B59" s="10" t="s">
        <v>168</v>
      </c>
      <c r="C59" s="10" t="s">
        <v>11</v>
      </c>
      <c r="D59" s="10" t="s">
        <v>14</v>
      </c>
      <c r="E59" s="3">
        <v>7.0</v>
      </c>
      <c r="F59" s="3">
        <v>7.0</v>
      </c>
      <c r="G59" s="3">
        <v>7.0</v>
      </c>
      <c r="H59" s="3">
        <v>1.0</v>
      </c>
      <c r="I59" s="11">
        <f t="shared" si="1"/>
        <v>14</v>
      </c>
      <c r="J59" s="3">
        <v>80.0</v>
      </c>
    </row>
    <row r="60" ht="15.75" customHeight="1">
      <c r="A60" s="3">
        <v>142.0</v>
      </c>
      <c r="B60" s="10" t="s">
        <v>136</v>
      </c>
      <c r="C60" s="10" t="s">
        <v>11</v>
      </c>
      <c r="D60" s="10" t="s">
        <v>14</v>
      </c>
      <c r="E60" s="3">
        <v>7.0</v>
      </c>
      <c r="F60" s="3">
        <v>7.0</v>
      </c>
      <c r="G60" s="3">
        <v>5.0</v>
      </c>
      <c r="H60" s="3">
        <v>-1.0</v>
      </c>
      <c r="I60" s="11">
        <f t="shared" si="1"/>
        <v>14</v>
      </c>
      <c r="J60" s="3">
        <v>80.0</v>
      </c>
    </row>
    <row r="61" ht="15.75" customHeight="1">
      <c r="A61" s="3">
        <v>143.0</v>
      </c>
      <c r="B61" s="40" t="s">
        <v>112</v>
      </c>
      <c r="C61" s="15" t="s">
        <v>11</v>
      </c>
      <c r="D61" s="15" t="s">
        <v>11</v>
      </c>
      <c r="E61" s="15">
        <v>7.0</v>
      </c>
      <c r="F61" s="15">
        <v>7.0</v>
      </c>
      <c r="G61" s="15">
        <v>5.0</v>
      </c>
      <c r="H61" s="15">
        <v>1.0</v>
      </c>
      <c r="I61" s="11">
        <f t="shared" si="1"/>
        <v>14</v>
      </c>
      <c r="J61" s="15">
        <v>80.0</v>
      </c>
    </row>
    <row r="62" ht="15.75" customHeight="1">
      <c r="A62" s="3">
        <v>160.0</v>
      </c>
      <c r="B62" s="10" t="s">
        <v>141</v>
      </c>
      <c r="C62" s="10" t="s">
        <v>13</v>
      </c>
      <c r="D62" s="10" t="s">
        <v>14</v>
      </c>
      <c r="E62" s="3">
        <v>7.0</v>
      </c>
      <c r="F62" s="3">
        <v>7.0</v>
      </c>
      <c r="G62" s="3">
        <v>5.0</v>
      </c>
      <c r="H62" s="3">
        <v>1.0</v>
      </c>
      <c r="I62" s="11">
        <f t="shared" si="1"/>
        <v>14</v>
      </c>
      <c r="J62" s="3">
        <v>80.0</v>
      </c>
      <c r="K62" s="33">
        <v>1.0</v>
      </c>
      <c r="L62" s="33">
        <v>155.0</v>
      </c>
    </row>
    <row r="63" ht="15.75" customHeight="1">
      <c r="A63" s="3">
        <v>31.0</v>
      </c>
      <c r="B63" s="10" t="s">
        <v>42</v>
      </c>
      <c r="C63" s="10" t="s">
        <v>11</v>
      </c>
      <c r="D63" s="10" t="s">
        <v>11</v>
      </c>
      <c r="E63" s="3">
        <v>7.0</v>
      </c>
      <c r="F63" s="3">
        <v>6.0</v>
      </c>
      <c r="G63" s="3">
        <v>3.0</v>
      </c>
      <c r="H63" s="3">
        <v>1.0</v>
      </c>
      <c r="I63" s="11">
        <f t="shared" si="1"/>
        <v>13</v>
      </c>
      <c r="J63" s="3">
        <v>80.0</v>
      </c>
      <c r="K63" s="33">
        <v>1.0</v>
      </c>
      <c r="L63" s="33">
        <v>145.0</v>
      </c>
    </row>
    <row r="64" ht="15.75" customHeight="1">
      <c r="A64" s="3">
        <v>42.0</v>
      </c>
      <c r="B64" s="10" t="s">
        <v>163</v>
      </c>
      <c r="C64" s="10" t="s">
        <v>11</v>
      </c>
      <c r="D64" s="10" t="s">
        <v>14</v>
      </c>
      <c r="E64" s="3">
        <v>8.0</v>
      </c>
      <c r="F64" s="3">
        <v>5.0</v>
      </c>
      <c r="G64" s="3">
        <v>7.0</v>
      </c>
      <c r="H64" s="3">
        <v>1.0</v>
      </c>
      <c r="I64" s="11">
        <f t="shared" si="1"/>
        <v>13</v>
      </c>
      <c r="J64" s="3">
        <v>60.0</v>
      </c>
    </row>
    <row r="65" ht="15.75" customHeight="1">
      <c r="A65" s="3">
        <v>46.0</v>
      </c>
      <c r="B65" s="10" t="s">
        <v>29</v>
      </c>
      <c r="C65" s="10" t="s">
        <v>11</v>
      </c>
      <c r="D65" s="10" t="s">
        <v>14</v>
      </c>
      <c r="E65" s="3">
        <v>6.0</v>
      </c>
      <c r="F65" s="3">
        <v>7.0</v>
      </c>
      <c r="G65" s="3">
        <v>2.0</v>
      </c>
      <c r="H65" s="3">
        <v>-1.0</v>
      </c>
      <c r="I65" s="11">
        <f t="shared" si="1"/>
        <v>13</v>
      </c>
      <c r="J65" s="3">
        <v>60.0</v>
      </c>
    </row>
    <row r="66" ht="15.75" customHeight="1">
      <c r="A66" s="3">
        <v>53.0</v>
      </c>
      <c r="B66" s="10" t="s">
        <v>85</v>
      </c>
      <c r="C66" s="10" t="s">
        <v>11</v>
      </c>
      <c r="D66" s="10" t="s">
        <v>14</v>
      </c>
      <c r="E66" s="3">
        <v>7.0</v>
      </c>
      <c r="F66" s="3">
        <v>6.0</v>
      </c>
      <c r="G66" s="3">
        <v>4.0</v>
      </c>
      <c r="H66" s="3">
        <v>-1.0</v>
      </c>
      <c r="I66" s="11">
        <f t="shared" si="1"/>
        <v>13</v>
      </c>
      <c r="J66" s="3">
        <v>80.0</v>
      </c>
    </row>
    <row r="67" ht="15.75" customHeight="1">
      <c r="A67" s="3">
        <v>54.0</v>
      </c>
      <c r="B67" s="10" t="s">
        <v>121</v>
      </c>
      <c r="C67" s="10" t="s">
        <v>13</v>
      </c>
      <c r="D67" s="10" t="s">
        <v>14</v>
      </c>
      <c r="E67" s="3">
        <v>7.0</v>
      </c>
      <c r="F67" s="3">
        <v>6.0</v>
      </c>
      <c r="G67" s="3">
        <v>5.0</v>
      </c>
      <c r="H67" s="3">
        <v>-1.0</v>
      </c>
      <c r="I67" s="11">
        <f t="shared" si="1"/>
        <v>13</v>
      </c>
      <c r="J67" s="3">
        <v>80.0</v>
      </c>
    </row>
    <row r="68" ht="15.75" customHeight="1">
      <c r="A68" s="3">
        <v>80.0</v>
      </c>
      <c r="B68" s="10" t="s">
        <v>92</v>
      </c>
      <c r="C68" s="10" t="s">
        <v>11</v>
      </c>
      <c r="D68" s="10" t="s">
        <v>14</v>
      </c>
      <c r="E68" s="3">
        <v>7.0</v>
      </c>
      <c r="F68" s="3">
        <v>6.0</v>
      </c>
      <c r="G68" s="3">
        <v>4.0</v>
      </c>
      <c r="H68" s="3">
        <v>-1.0</v>
      </c>
      <c r="I68" s="11">
        <f t="shared" si="1"/>
        <v>13</v>
      </c>
      <c r="J68" s="3">
        <v>80.0</v>
      </c>
    </row>
    <row r="69" ht="15.75" customHeight="1">
      <c r="A69" s="3">
        <v>87.0</v>
      </c>
      <c r="B69" s="16" t="s">
        <v>77</v>
      </c>
      <c r="C69" s="15" t="s">
        <v>11</v>
      </c>
      <c r="D69" s="15" t="s">
        <v>11</v>
      </c>
      <c r="E69" s="15">
        <v>7.0</v>
      </c>
      <c r="F69" s="15">
        <v>6.0</v>
      </c>
      <c r="G69" s="15">
        <v>4.0</v>
      </c>
      <c r="H69" s="15">
        <v>-1.0</v>
      </c>
      <c r="I69" s="11">
        <f t="shared" si="1"/>
        <v>13</v>
      </c>
      <c r="J69" s="15">
        <v>80.0</v>
      </c>
    </row>
    <row r="70" ht="15.75" customHeight="1">
      <c r="A70" s="3">
        <v>108.0</v>
      </c>
      <c r="B70" s="10" t="s">
        <v>64</v>
      </c>
      <c r="C70" s="10" t="s">
        <v>13</v>
      </c>
      <c r="D70" s="10" t="s">
        <v>14</v>
      </c>
      <c r="E70" s="3">
        <v>6.0</v>
      </c>
      <c r="F70" s="3">
        <v>7.0</v>
      </c>
      <c r="G70" s="3">
        <v>3.0</v>
      </c>
      <c r="H70" s="3">
        <v>1.0</v>
      </c>
      <c r="I70" s="11">
        <f t="shared" si="1"/>
        <v>13</v>
      </c>
      <c r="J70" s="3">
        <v>80.0</v>
      </c>
      <c r="K70" s="33">
        <v>12.0</v>
      </c>
      <c r="L70" s="33">
        <v>135.0</v>
      </c>
    </row>
    <row r="71" ht="15.75" customHeight="1">
      <c r="A71" s="3">
        <v>133.0</v>
      </c>
      <c r="B71" s="10" t="s">
        <v>167</v>
      </c>
      <c r="C71" s="10" t="s">
        <v>11</v>
      </c>
      <c r="D71" s="10" t="s">
        <v>14</v>
      </c>
      <c r="E71" s="3">
        <v>6.0</v>
      </c>
      <c r="F71" s="3">
        <v>7.0</v>
      </c>
      <c r="G71" s="3">
        <v>7.0</v>
      </c>
      <c r="H71" s="3">
        <v>1.0</v>
      </c>
      <c r="I71" s="11">
        <f t="shared" si="1"/>
        <v>13</v>
      </c>
      <c r="J71" s="3">
        <v>60.0</v>
      </c>
    </row>
    <row r="72" ht="15.75" customHeight="1">
      <c r="A72" s="3">
        <v>150.0</v>
      </c>
      <c r="B72" s="10" t="s">
        <v>139</v>
      </c>
      <c r="C72" s="10" t="s">
        <v>11</v>
      </c>
      <c r="D72" s="10" t="s">
        <v>14</v>
      </c>
      <c r="E72" s="3">
        <v>7.0</v>
      </c>
      <c r="F72" s="3">
        <v>6.0</v>
      </c>
      <c r="G72" s="3">
        <v>5.0</v>
      </c>
      <c r="H72" s="3">
        <v>1.0</v>
      </c>
      <c r="I72" s="11">
        <f t="shared" si="1"/>
        <v>13</v>
      </c>
      <c r="J72" s="3">
        <v>80.0</v>
      </c>
    </row>
    <row r="73" ht="15.75" customHeight="1">
      <c r="A73" s="3">
        <v>152.0</v>
      </c>
      <c r="B73" s="10" t="s">
        <v>140</v>
      </c>
      <c r="C73" s="10" t="s">
        <v>11</v>
      </c>
      <c r="D73" s="10" t="s">
        <v>14</v>
      </c>
      <c r="E73" s="3">
        <v>6.0</v>
      </c>
      <c r="F73" s="3">
        <v>7.0</v>
      </c>
      <c r="G73" s="3">
        <v>5.0</v>
      </c>
      <c r="H73" s="3">
        <v>1.0</v>
      </c>
      <c r="I73" s="11">
        <f t="shared" si="1"/>
        <v>13</v>
      </c>
      <c r="J73" s="3">
        <v>60.0</v>
      </c>
    </row>
    <row r="74" ht="15.75" customHeight="1">
      <c r="A74" s="3">
        <v>24.0</v>
      </c>
      <c r="B74" s="10" t="s">
        <v>27</v>
      </c>
      <c r="C74" s="10" t="s">
        <v>13</v>
      </c>
      <c r="D74" s="10" t="s">
        <v>14</v>
      </c>
      <c r="E74" s="3">
        <v>6.0</v>
      </c>
      <c r="F74" s="3">
        <v>6.0</v>
      </c>
      <c r="G74" s="3">
        <v>2.0</v>
      </c>
      <c r="H74" s="3">
        <v>1.0</v>
      </c>
      <c r="I74" s="11">
        <f t="shared" si="1"/>
        <v>12</v>
      </c>
      <c r="J74" s="3">
        <v>80.0</v>
      </c>
    </row>
    <row r="75" ht="15.75" customHeight="1">
      <c r="A75" s="3">
        <v>34.0</v>
      </c>
      <c r="B75" s="10" t="s">
        <v>51</v>
      </c>
      <c r="C75" s="10" t="s">
        <v>11</v>
      </c>
      <c r="D75" s="10" t="s">
        <v>14</v>
      </c>
      <c r="E75" s="3">
        <v>7.0</v>
      </c>
      <c r="F75" s="3">
        <v>5.0</v>
      </c>
      <c r="G75" s="3">
        <v>3.0</v>
      </c>
      <c r="H75" s="3">
        <v>1.0</v>
      </c>
      <c r="I75" s="11">
        <f t="shared" si="1"/>
        <v>12</v>
      </c>
      <c r="J75" s="3">
        <v>80.0</v>
      </c>
    </row>
    <row r="76" ht="15.75" customHeight="1">
      <c r="A76" s="3">
        <v>36.0</v>
      </c>
      <c r="B76" s="10" t="s">
        <v>149</v>
      </c>
      <c r="C76" s="10" t="s">
        <v>11</v>
      </c>
      <c r="D76" s="10" t="s">
        <v>14</v>
      </c>
      <c r="E76" s="3">
        <v>6.0</v>
      </c>
      <c r="F76" s="3">
        <v>6.0</v>
      </c>
      <c r="G76" s="3">
        <v>6.0</v>
      </c>
      <c r="H76" s="3">
        <v>1.0</v>
      </c>
      <c r="I76" s="11">
        <f t="shared" si="1"/>
        <v>12</v>
      </c>
      <c r="J76" s="3">
        <v>60.0</v>
      </c>
    </row>
    <row r="77" ht="15.75" customHeight="1">
      <c r="A77" s="3">
        <v>39.0</v>
      </c>
      <c r="B77" s="10" t="s">
        <v>52</v>
      </c>
      <c r="C77" s="10" t="s">
        <v>13</v>
      </c>
      <c r="D77" s="10" t="s">
        <v>14</v>
      </c>
      <c r="E77" s="3">
        <v>6.0</v>
      </c>
      <c r="F77" s="3">
        <v>6.0</v>
      </c>
      <c r="G77" s="3">
        <v>3.0</v>
      </c>
      <c r="H77" s="3">
        <v>-1.0</v>
      </c>
      <c r="I77" s="11">
        <f t="shared" si="1"/>
        <v>12</v>
      </c>
      <c r="J77" s="3">
        <v>60.0</v>
      </c>
    </row>
    <row r="78" ht="15.75" customHeight="1">
      <c r="A78" s="3">
        <v>43.0</v>
      </c>
      <c r="B78" s="10" t="s">
        <v>54</v>
      </c>
      <c r="C78" s="10" t="s">
        <v>13</v>
      </c>
      <c r="D78" s="10" t="s">
        <v>14</v>
      </c>
      <c r="E78" s="3">
        <v>4.0</v>
      </c>
      <c r="F78" s="3">
        <v>8.0</v>
      </c>
      <c r="G78" s="3">
        <v>3.0</v>
      </c>
      <c r="H78" s="3">
        <v>1.0</v>
      </c>
      <c r="I78" s="11">
        <f t="shared" si="1"/>
        <v>12</v>
      </c>
      <c r="J78" s="3">
        <v>60.0</v>
      </c>
    </row>
    <row r="79" ht="15.75" customHeight="1">
      <c r="A79" s="3">
        <v>47.0</v>
      </c>
      <c r="B79" s="15" t="s">
        <v>43</v>
      </c>
      <c r="C79" s="15" t="s">
        <v>11</v>
      </c>
      <c r="D79" s="15" t="s">
        <v>11</v>
      </c>
      <c r="E79" s="15">
        <v>6.0</v>
      </c>
      <c r="F79" s="15">
        <v>6.0</v>
      </c>
      <c r="G79" s="15">
        <v>3.0</v>
      </c>
      <c r="H79" s="15">
        <v>-1.0</v>
      </c>
      <c r="I79" s="11">
        <f t="shared" si="1"/>
        <v>12</v>
      </c>
      <c r="J79" s="15">
        <v>60.0</v>
      </c>
    </row>
    <row r="80" ht="15.75" customHeight="1">
      <c r="A80" s="3">
        <v>55.0</v>
      </c>
      <c r="B80" s="10" t="s">
        <v>122</v>
      </c>
      <c r="C80" s="10" t="s">
        <v>11</v>
      </c>
      <c r="D80" s="10" t="s">
        <v>14</v>
      </c>
      <c r="E80" s="3">
        <v>7.0</v>
      </c>
      <c r="F80" s="3">
        <v>5.0</v>
      </c>
      <c r="G80" s="3">
        <v>5.0</v>
      </c>
      <c r="H80" s="3">
        <v>1.0</v>
      </c>
      <c r="I80" s="11">
        <f t="shared" si="1"/>
        <v>12</v>
      </c>
      <c r="J80" s="3">
        <v>80.0</v>
      </c>
    </row>
    <row r="81" ht="15.75" customHeight="1">
      <c r="A81" s="3">
        <v>61.0</v>
      </c>
      <c r="B81" s="10" t="s">
        <v>31</v>
      </c>
      <c r="C81" s="10" t="s">
        <v>11</v>
      </c>
      <c r="D81" s="10" t="s">
        <v>14</v>
      </c>
      <c r="E81" s="3">
        <v>6.0</v>
      </c>
      <c r="F81" s="3">
        <v>6.0</v>
      </c>
      <c r="G81" s="3">
        <v>2.0</v>
      </c>
      <c r="H81" s="3">
        <v>1.0</v>
      </c>
      <c r="I81" s="11">
        <f t="shared" si="1"/>
        <v>12</v>
      </c>
      <c r="J81" s="3">
        <v>60.0</v>
      </c>
    </row>
    <row r="82" ht="15.75" customHeight="1">
      <c r="A82" s="3">
        <v>63.0</v>
      </c>
      <c r="B82" s="10" t="s">
        <v>33</v>
      </c>
      <c r="C82" s="10" t="s">
        <v>11</v>
      </c>
      <c r="D82" s="10" t="s">
        <v>14</v>
      </c>
      <c r="E82" s="3">
        <v>6.0</v>
      </c>
      <c r="F82" s="3">
        <v>6.0</v>
      </c>
      <c r="G82" s="3">
        <v>2.0</v>
      </c>
      <c r="H82" s="3">
        <v>1.0</v>
      </c>
      <c r="I82" s="11">
        <f t="shared" si="1"/>
        <v>12</v>
      </c>
      <c r="J82" s="3">
        <v>80.0</v>
      </c>
    </row>
    <row r="83" ht="15.75" customHeight="1">
      <c r="A83" s="3">
        <v>68.0</v>
      </c>
      <c r="B83" s="10" t="s">
        <v>87</v>
      </c>
      <c r="C83" s="10" t="s">
        <v>13</v>
      </c>
      <c r="D83" s="10" t="s">
        <v>14</v>
      </c>
      <c r="E83" s="3">
        <v>7.0</v>
      </c>
      <c r="F83" s="3">
        <v>5.0</v>
      </c>
      <c r="G83" s="3">
        <v>4.0</v>
      </c>
      <c r="H83" s="3">
        <v>-1.0</v>
      </c>
      <c r="I83" s="11">
        <f t="shared" si="1"/>
        <v>12</v>
      </c>
      <c r="J83" s="3">
        <v>60.0</v>
      </c>
    </row>
    <row r="84" ht="15.75" customHeight="1">
      <c r="A84" s="3">
        <v>69.0</v>
      </c>
      <c r="B84" s="10" t="s">
        <v>108</v>
      </c>
      <c r="C84" s="10" t="s">
        <v>11</v>
      </c>
      <c r="D84" s="10" t="s">
        <v>11</v>
      </c>
      <c r="E84" s="3">
        <v>7.0</v>
      </c>
      <c r="F84" s="3">
        <v>5.0</v>
      </c>
      <c r="G84" s="3">
        <v>5.0</v>
      </c>
      <c r="H84" s="3">
        <v>1.0</v>
      </c>
      <c r="I84" s="11">
        <f t="shared" si="1"/>
        <v>12</v>
      </c>
      <c r="J84" s="3">
        <v>80.0</v>
      </c>
    </row>
    <row r="85" ht="15.75" customHeight="1">
      <c r="A85" s="3">
        <v>81.0</v>
      </c>
      <c r="B85" s="10" t="s">
        <v>18</v>
      </c>
      <c r="C85" s="10" t="s">
        <v>11</v>
      </c>
      <c r="D85" s="10" t="s">
        <v>14</v>
      </c>
      <c r="E85" s="3">
        <v>6.0</v>
      </c>
      <c r="F85" s="3">
        <v>6.0</v>
      </c>
      <c r="G85" s="3">
        <v>1.0</v>
      </c>
      <c r="H85" s="3">
        <v>-1.0</v>
      </c>
      <c r="I85" s="11">
        <f t="shared" si="1"/>
        <v>12</v>
      </c>
      <c r="J85" s="3">
        <v>60.0</v>
      </c>
    </row>
    <row r="86" ht="15.75" customHeight="1">
      <c r="A86" s="3">
        <v>95.0</v>
      </c>
      <c r="B86" s="10" t="s">
        <v>109</v>
      </c>
      <c r="C86" s="10" t="s">
        <v>11</v>
      </c>
      <c r="D86" s="10" t="s">
        <v>11</v>
      </c>
      <c r="E86" s="3">
        <v>6.0</v>
      </c>
      <c r="F86" s="3">
        <v>6.0</v>
      </c>
      <c r="G86" s="3">
        <v>5.0</v>
      </c>
      <c r="H86" s="3">
        <v>-1.0</v>
      </c>
      <c r="I86" s="11">
        <f t="shared" si="1"/>
        <v>12</v>
      </c>
      <c r="J86" s="3">
        <v>60.0</v>
      </c>
      <c r="K86" s="33">
        <v>3.0</v>
      </c>
      <c r="L86" s="33">
        <v>120.0</v>
      </c>
    </row>
    <row r="87" ht="15.75" customHeight="1">
      <c r="A87" s="3">
        <v>96.0</v>
      </c>
      <c r="B87" s="10" t="s">
        <v>155</v>
      </c>
      <c r="C87" s="10" t="s">
        <v>11</v>
      </c>
      <c r="D87" s="10" t="s">
        <v>14</v>
      </c>
      <c r="E87" s="3">
        <v>7.0</v>
      </c>
      <c r="F87" s="3">
        <v>5.0</v>
      </c>
      <c r="G87" s="3">
        <v>6.0</v>
      </c>
      <c r="H87" s="3">
        <v>1.0</v>
      </c>
      <c r="I87" s="11">
        <f t="shared" si="1"/>
        <v>12</v>
      </c>
      <c r="J87" s="3">
        <v>60.0</v>
      </c>
    </row>
    <row r="88" ht="15.75" customHeight="1">
      <c r="A88" s="3">
        <v>106.0</v>
      </c>
      <c r="B88" s="10" t="s">
        <v>63</v>
      </c>
      <c r="C88" s="10" t="s">
        <v>13</v>
      </c>
      <c r="D88" s="10" t="s">
        <v>14</v>
      </c>
      <c r="E88" s="3">
        <v>7.0</v>
      </c>
      <c r="F88" s="3">
        <v>5.0</v>
      </c>
      <c r="G88" s="3">
        <v>3.0</v>
      </c>
      <c r="H88" s="3">
        <v>-1.0</v>
      </c>
      <c r="I88" s="11">
        <f t="shared" si="1"/>
        <v>12</v>
      </c>
      <c r="J88" s="3">
        <v>60.0</v>
      </c>
      <c r="K88" s="33">
        <v>18.0</v>
      </c>
      <c r="L88" s="33">
        <v>125.0</v>
      </c>
    </row>
    <row r="89" ht="15.75" customHeight="1">
      <c r="A89" s="3">
        <v>109.0</v>
      </c>
      <c r="B89" s="10" t="s">
        <v>98</v>
      </c>
      <c r="C89" s="10" t="s">
        <v>13</v>
      </c>
      <c r="D89" s="10" t="s">
        <v>14</v>
      </c>
      <c r="E89" s="3">
        <v>6.0</v>
      </c>
      <c r="F89" s="3">
        <v>6.0</v>
      </c>
      <c r="G89" s="3">
        <v>4.0</v>
      </c>
      <c r="H89" s="3">
        <v>1.0</v>
      </c>
      <c r="I89" s="11">
        <f t="shared" si="1"/>
        <v>12</v>
      </c>
      <c r="J89" s="3">
        <v>60.0</v>
      </c>
    </row>
    <row r="90" ht="15.75" customHeight="1">
      <c r="A90" s="3">
        <v>110.0</v>
      </c>
      <c r="B90" s="10" t="s">
        <v>65</v>
      </c>
      <c r="C90" s="10" t="s">
        <v>13</v>
      </c>
      <c r="D90" s="10" t="s">
        <v>14</v>
      </c>
      <c r="E90" s="3">
        <v>6.0</v>
      </c>
      <c r="F90" s="3">
        <v>6.0</v>
      </c>
      <c r="G90" s="3">
        <v>3.0</v>
      </c>
      <c r="H90" s="3">
        <v>-1.0</v>
      </c>
      <c r="I90" s="11">
        <f t="shared" si="1"/>
        <v>12</v>
      </c>
      <c r="J90" s="3">
        <v>60.0</v>
      </c>
    </row>
    <row r="91" ht="15.75" customHeight="1">
      <c r="A91" s="3">
        <v>114.0</v>
      </c>
      <c r="B91" s="10" t="s">
        <v>44</v>
      </c>
      <c r="C91" s="10" t="s">
        <v>13</v>
      </c>
      <c r="D91" s="10" t="s">
        <v>11</v>
      </c>
      <c r="E91" s="3">
        <v>7.0</v>
      </c>
      <c r="F91" s="3">
        <v>5.0</v>
      </c>
      <c r="G91" s="3">
        <v>3.0</v>
      </c>
      <c r="H91" s="3">
        <v>-1.0</v>
      </c>
      <c r="I91" s="11">
        <f t="shared" si="1"/>
        <v>12</v>
      </c>
      <c r="J91" s="3">
        <v>80.0</v>
      </c>
    </row>
    <row r="92" ht="15.75" customHeight="1">
      <c r="A92" s="3">
        <v>120.0</v>
      </c>
      <c r="B92" s="10" t="s">
        <v>130</v>
      </c>
      <c r="C92" s="10" t="s">
        <v>13</v>
      </c>
      <c r="D92" s="10" t="s">
        <v>14</v>
      </c>
      <c r="E92" s="3">
        <v>6.0</v>
      </c>
      <c r="F92" s="3">
        <v>6.0</v>
      </c>
      <c r="G92" s="3">
        <v>5.0</v>
      </c>
      <c r="H92" s="3">
        <v>-1.0</v>
      </c>
      <c r="I92" s="11">
        <f t="shared" si="1"/>
        <v>12</v>
      </c>
      <c r="J92" s="3">
        <v>60.0</v>
      </c>
      <c r="K92" s="33" t="s">
        <v>180</v>
      </c>
    </row>
    <row r="93" ht="15.75" customHeight="1">
      <c r="A93" s="3">
        <v>127.0</v>
      </c>
      <c r="B93" s="10" t="s">
        <v>45</v>
      </c>
      <c r="C93" s="10" t="s">
        <v>13</v>
      </c>
      <c r="D93" s="10" t="s">
        <v>11</v>
      </c>
      <c r="E93" s="3">
        <v>6.0</v>
      </c>
      <c r="F93" s="3">
        <v>6.0</v>
      </c>
      <c r="G93" s="3">
        <v>3.0</v>
      </c>
      <c r="H93" s="3">
        <v>-1.0</v>
      </c>
      <c r="I93" s="11">
        <f t="shared" si="1"/>
        <v>12</v>
      </c>
      <c r="J93" s="3">
        <v>60.0</v>
      </c>
      <c r="K93" s="33">
        <v>11.0</v>
      </c>
      <c r="L93" s="33">
        <v>150.0</v>
      </c>
    </row>
    <row r="94" ht="15.75" customHeight="1">
      <c r="A94" s="3">
        <v>130.0</v>
      </c>
      <c r="B94" s="10" t="s">
        <v>70</v>
      </c>
      <c r="C94" s="10" t="s">
        <v>13</v>
      </c>
      <c r="D94" s="10" t="s">
        <v>14</v>
      </c>
      <c r="E94" s="3">
        <v>6.0</v>
      </c>
      <c r="F94" s="3">
        <v>6.0</v>
      </c>
      <c r="G94" s="3">
        <v>3.0</v>
      </c>
      <c r="H94" s="3">
        <v>1.0</v>
      </c>
      <c r="I94" s="11">
        <f t="shared" si="1"/>
        <v>12</v>
      </c>
      <c r="J94" s="3">
        <v>60.0</v>
      </c>
      <c r="K94" s="33">
        <v>10.0</v>
      </c>
      <c r="L94" s="33">
        <v>130.0</v>
      </c>
    </row>
    <row r="95" ht="15.75" customHeight="1">
      <c r="A95" s="3">
        <v>138.0</v>
      </c>
      <c r="B95" s="10" t="s">
        <v>134</v>
      </c>
      <c r="C95" s="10" t="s">
        <v>13</v>
      </c>
      <c r="D95" s="10" t="s">
        <v>14</v>
      </c>
      <c r="E95" s="3">
        <v>6.0</v>
      </c>
      <c r="F95" s="3">
        <v>6.0</v>
      </c>
      <c r="G95" s="3">
        <v>5.0</v>
      </c>
      <c r="H95" s="3">
        <v>-1.0</v>
      </c>
      <c r="I95" s="11">
        <f t="shared" si="1"/>
        <v>12</v>
      </c>
      <c r="J95" s="3">
        <v>60.0</v>
      </c>
    </row>
    <row r="96" ht="15.75" customHeight="1">
      <c r="A96" s="3">
        <v>5.0</v>
      </c>
      <c r="B96" s="10" t="s">
        <v>79</v>
      </c>
      <c r="C96" s="10" t="s">
        <v>13</v>
      </c>
      <c r="D96" s="10" t="s">
        <v>14</v>
      </c>
      <c r="E96" s="3">
        <v>6.0</v>
      </c>
      <c r="F96" s="3">
        <v>5.0</v>
      </c>
      <c r="G96" s="3">
        <v>4.0</v>
      </c>
      <c r="H96" s="3">
        <v>-1.0</v>
      </c>
      <c r="I96" s="11">
        <f t="shared" si="1"/>
        <v>11</v>
      </c>
      <c r="J96" s="3">
        <v>60.0</v>
      </c>
    </row>
    <row r="97" ht="15.75" customHeight="1">
      <c r="A97" s="3">
        <v>6.0</v>
      </c>
      <c r="B97" s="10" t="s">
        <v>143</v>
      </c>
      <c r="C97" s="10" t="s">
        <v>11</v>
      </c>
      <c r="D97" s="10" t="s">
        <v>14</v>
      </c>
      <c r="E97" s="3">
        <v>5.0</v>
      </c>
      <c r="F97" s="3">
        <v>6.0</v>
      </c>
      <c r="G97" s="3">
        <v>6.0</v>
      </c>
      <c r="H97" s="3">
        <v>1.0</v>
      </c>
      <c r="I97" s="11">
        <f t="shared" si="1"/>
        <v>11</v>
      </c>
      <c r="J97" s="3">
        <v>60.0</v>
      </c>
      <c r="K97" s="33">
        <v>1.0</v>
      </c>
      <c r="L97" s="33">
        <v>90.0</v>
      </c>
    </row>
    <row r="98" ht="15.75" customHeight="1">
      <c r="A98" s="3">
        <v>13.0</v>
      </c>
      <c r="B98" s="10" t="s">
        <v>48</v>
      </c>
      <c r="C98" s="10" t="s">
        <v>13</v>
      </c>
      <c r="D98" s="10" t="s">
        <v>14</v>
      </c>
      <c r="E98" s="3">
        <v>5.0</v>
      </c>
      <c r="F98" s="3">
        <v>6.0</v>
      </c>
      <c r="G98" s="3">
        <v>3.0</v>
      </c>
      <c r="H98" s="3">
        <v>-1.0</v>
      </c>
      <c r="I98" s="11">
        <f t="shared" si="1"/>
        <v>11</v>
      </c>
      <c r="J98" s="3">
        <v>60.0</v>
      </c>
      <c r="K98" s="33">
        <v>18.0</v>
      </c>
      <c r="L98" s="33">
        <v>105.0</v>
      </c>
    </row>
    <row r="99" ht="15.75" customHeight="1">
      <c r="A99" s="3">
        <v>17.0</v>
      </c>
      <c r="B99" s="10" t="s">
        <v>106</v>
      </c>
      <c r="C99" s="10" t="s">
        <v>13</v>
      </c>
      <c r="D99" s="10" t="s">
        <v>11</v>
      </c>
      <c r="E99" s="3">
        <v>5.0</v>
      </c>
      <c r="F99" s="3">
        <v>6.0</v>
      </c>
      <c r="G99" s="3">
        <v>5.0</v>
      </c>
      <c r="H99" s="3">
        <v>-1.0</v>
      </c>
      <c r="I99" s="11">
        <f t="shared" si="1"/>
        <v>11</v>
      </c>
      <c r="J99" s="3">
        <v>60.0</v>
      </c>
      <c r="K99" s="33">
        <v>12.0</v>
      </c>
      <c r="L99" s="33">
        <v>120.0</v>
      </c>
    </row>
    <row r="100" ht="15.75" customHeight="1">
      <c r="A100" s="3">
        <v>26.0</v>
      </c>
      <c r="B100" s="10" t="s">
        <v>49</v>
      </c>
      <c r="C100" s="10" t="s">
        <v>13</v>
      </c>
      <c r="D100" s="10" t="s">
        <v>14</v>
      </c>
      <c r="E100" s="3">
        <v>5.0</v>
      </c>
      <c r="F100" s="3">
        <v>6.0</v>
      </c>
      <c r="G100" s="3">
        <v>3.0</v>
      </c>
      <c r="H100" s="3">
        <v>-1.0</v>
      </c>
      <c r="I100" s="11">
        <f t="shared" si="1"/>
        <v>11</v>
      </c>
      <c r="J100" s="3">
        <v>60.0</v>
      </c>
    </row>
    <row r="101" ht="15.75" customHeight="1">
      <c r="A101" s="3">
        <v>32.0</v>
      </c>
      <c r="B101" s="10" t="s">
        <v>83</v>
      </c>
      <c r="C101" s="10" t="s">
        <v>13</v>
      </c>
      <c r="D101" s="10" t="s">
        <v>14</v>
      </c>
      <c r="E101" s="3">
        <v>5.0</v>
      </c>
      <c r="F101" s="3">
        <v>6.0</v>
      </c>
      <c r="G101" s="3">
        <v>4.0</v>
      </c>
      <c r="H101" s="3">
        <v>-1.0</v>
      </c>
      <c r="I101" s="11">
        <f t="shared" si="1"/>
        <v>11</v>
      </c>
      <c r="J101" s="3">
        <v>60.0</v>
      </c>
    </row>
    <row r="102" ht="15.75" customHeight="1">
      <c r="A102" s="3">
        <v>40.0</v>
      </c>
      <c r="B102" s="10" t="s">
        <v>53</v>
      </c>
      <c r="C102" s="10" t="s">
        <v>13</v>
      </c>
      <c r="D102" s="10" t="s">
        <v>14</v>
      </c>
      <c r="E102" s="3">
        <v>6.0</v>
      </c>
      <c r="F102" s="3">
        <v>5.0</v>
      </c>
      <c r="G102" s="3">
        <v>3.0</v>
      </c>
      <c r="H102" s="3">
        <v>-1.0</v>
      </c>
      <c r="I102" s="11">
        <f t="shared" si="1"/>
        <v>11</v>
      </c>
      <c r="J102" s="3">
        <v>60.0</v>
      </c>
    </row>
    <row r="103" ht="15.75" customHeight="1">
      <c r="A103" s="3">
        <v>59.0</v>
      </c>
      <c r="B103" s="10" t="s">
        <v>57</v>
      </c>
      <c r="C103" s="10" t="s">
        <v>13</v>
      </c>
      <c r="D103" s="10" t="s">
        <v>14</v>
      </c>
      <c r="E103" s="3">
        <v>5.0</v>
      </c>
      <c r="F103" s="3">
        <v>6.0</v>
      </c>
      <c r="G103" s="3">
        <v>3.0</v>
      </c>
      <c r="H103" s="3">
        <v>1.0</v>
      </c>
      <c r="I103" s="11">
        <f t="shared" si="1"/>
        <v>11</v>
      </c>
      <c r="J103" s="3">
        <v>60.0</v>
      </c>
    </row>
    <row r="104" ht="15.75" customHeight="1">
      <c r="A104" s="3">
        <v>66.0</v>
      </c>
      <c r="B104" s="10" t="s">
        <v>86</v>
      </c>
      <c r="C104" s="10" t="s">
        <v>13</v>
      </c>
      <c r="D104" s="10" t="s">
        <v>14</v>
      </c>
      <c r="E104" s="3">
        <v>6.0</v>
      </c>
      <c r="F104" s="3">
        <v>5.0</v>
      </c>
      <c r="G104" s="3">
        <v>4.0</v>
      </c>
      <c r="H104" s="3">
        <v>-1.0</v>
      </c>
      <c r="I104" s="11">
        <f t="shared" si="1"/>
        <v>11</v>
      </c>
      <c r="J104" s="3">
        <v>60.0</v>
      </c>
    </row>
    <row r="105" ht="15.75" customHeight="1">
      <c r="A105" s="3">
        <v>75.0</v>
      </c>
      <c r="B105" s="10" t="s">
        <v>59</v>
      </c>
      <c r="C105" s="10" t="s">
        <v>13</v>
      </c>
      <c r="D105" s="10" t="s">
        <v>14</v>
      </c>
      <c r="E105" s="3">
        <v>6.0</v>
      </c>
      <c r="F105" s="3">
        <v>5.0</v>
      </c>
      <c r="G105" s="3">
        <v>3.0</v>
      </c>
      <c r="H105" s="3">
        <v>-1.0</v>
      </c>
      <c r="I105" s="11">
        <f t="shared" si="1"/>
        <v>11</v>
      </c>
      <c r="J105" s="3">
        <v>60.0</v>
      </c>
    </row>
    <row r="106" ht="15.75" customHeight="1">
      <c r="A106" s="3">
        <v>79.0</v>
      </c>
      <c r="B106" s="10" t="s">
        <v>124</v>
      </c>
      <c r="C106" s="10" t="s">
        <v>11</v>
      </c>
      <c r="D106" s="10" t="s">
        <v>14</v>
      </c>
      <c r="E106" s="3">
        <v>5.0</v>
      </c>
      <c r="F106" s="3">
        <v>6.0</v>
      </c>
      <c r="G106" s="3">
        <v>5.0</v>
      </c>
      <c r="H106" s="3">
        <v>1.0</v>
      </c>
      <c r="I106" s="11">
        <f t="shared" si="1"/>
        <v>11</v>
      </c>
      <c r="J106" s="3">
        <v>60.0</v>
      </c>
    </row>
    <row r="107" ht="15.75" customHeight="1">
      <c r="A107" s="3">
        <v>93.0</v>
      </c>
      <c r="B107" s="10" t="s">
        <v>19</v>
      </c>
      <c r="C107" s="10" t="s">
        <v>13</v>
      </c>
      <c r="D107" s="10" t="s">
        <v>14</v>
      </c>
      <c r="E107" s="3">
        <v>6.0</v>
      </c>
      <c r="F107" s="3">
        <v>5.0</v>
      </c>
      <c r="G107" s="3">
        <v>1.0</v>
      </c>
      <c r="H107" s="3">
        <v>-1.0</v>
      </c>
      <c r="I107" s="11">
        <f t="shared" si="1"/>
        <v>11</v>
      </c>
      <c r="J107" s="3">
        <v>60.0</v>
      </c>
      <c r="L107" s="33">
        <v>130.0</v>
      </c>
    </row>
    <row r="108" ht="15.75" customHeight="1">
      <c r="A108" s="3">
        <v>102.0</v>
      </c>
      <c r="B108" s="10" t="s">
        <v>97</v>
      </c>
      <c r="C108" s="10" t="s">
        <v>13</v>
      </c>
      <c r="D108" s="10" t="s">
        <v>14</v>
      </c>
      <c r="E108" s="3">
        <v>5.0</v>
      </c>
      <c r="F108" s="3">
        <v>6.0</v>
      </c>
      <c r="G108" s="3">
        <v>4.0</v>
      </c>
      <c r="H108" s="3">
        <v>-1.0</v>
      </c>
      <c r="I108" s="11">
        <f t="shared" si="1"/>
        <v>11</v>
      </c>
      <c r="J108" s="3">
        <v>60.0</v>
      </c>
    </row>
    <row r="109" ht="15.75" customHeight="1">
      <c r="A109" s="3">
        <v>113.0</v>
      </c>
      <c r="B109" s="10" t="s">
        <v>101</v>
      </c>
      <c r="C109" s="10" t="s">
        <v>13</v>
      </c>
      <c r="D109" s="10" t="s">
        <v>14</v>
      </c>
      <c r="E109" s="3">
        <v>5.0</v>
      </c>
      <c r="F109" s="3">
        <v>6.0</v>
      </c>
      <c r="G109" s="3">
        <v>4.0</v>
      </c>
      <c r="H109" s="3">
        <v>1.0</v>
      </c>
      <c r="I109" s="11">
        <f t="shared" si="1"/>
        <v>11</v>
      </c>
      <c r="J109" s="3">
        <v>60.0</v>
      </c>
    </row>
    <row r="110" ht="15.75" customHeight="1">
      <c r="A110" s="3">
        <v>116.0</v>
      </c>
      <c r="B110" s="10" t="s">
        <v>66</v>
      </c>
      <c r="C110" s="10" t="s">
        <v>11</v>
      </c>
      <c r="D110" s="10" t="s">
        <v>14</v>
      </c>
      <c r="E110" s="3">
        <v>6.0</v>
      </c>
      <c r="F110" s="3">
        <v>5.0</v>
      </c>
      <c r="G110" s="3">
        <v>3.0</v>
      </c>
      <c r="H110" s="3">
        <v>-1.0</v>
      </c>
      <c r="I110" s="11">
        <f t="shared" si="1"/>
        <v>11</v>
      </c>
      <c r="J110" s="3">
        <v>60.0</v>
      </c>
      <c r="K110" s="33">
        <v>12.0</v>
      </c>
      <c r="L110" s="33">
        <v>105.0</v>
      </c>
    </row>
    <row r="111" ht="15.75" customHeight="1">
      <c r="A111" s="3">
        <v>129.0</v>
      </c>
      <c r="B111" s="10" t="s">
        <v>132</v>
      </c>
      <c r="C111" s="10" t="s">
        <v>11</v>
      </c>
      <c r="D111" s="10" t="s">
        <v>14</v>
      </c>
      <c r="E111" s="3">
        <v>6.0</v>
      </c>
      <c r="F111" s="3">
        <v>5.0</v>
      </c>
      <c r="G111" s="3">
        <v>5.0</v>
      </c>
      <c r="H111" s="3">
        <v>-1.0</v>
      </c>
      <c r="I111" s="11">
        <f t="shared" si="1"/>
        <v>11</v>
      </c>
      <c r="J111" s="3">
        <v>60.0</v>
      </c>
    </row>
    <row r="112" ht="15.75" customHeight="1">
      <c r="A112" s="3">
        <v>131.0</v>
      </c>
      <c r="B112" s="10" t="s">
        <v>171</v>
      </c>
      <c r="C112" s="10" t="s">
        <v>11</v>
      </c>
      <c r="D112" s="10" t="s">
        <v>14</v>
      </c>
      <c r="E112" s="3">
        <v>7.0</v>
      </c>
      <c r="F112" s="3">
        <v>4.0</v>
      </c>
      <c r="G112" s="3">
        <v>8.0</v>
      </c>
      <c r="H112" s="3">
        <v>1.0</v>
      </c>
      <c r="I112" s="11">
        <f t="shared" si="1"/>
        <v>11</v>
      </c>
      <c r="J112" s="3">
        <v>60.0</v>
      </c>
    </row>
    <row r="113" ht="15.75" customHeight="1">
      <c r="A113" s="3">
        <v>144.0</v>
      </c>
      <c r="B113" s="10" t="s">
        <v>158</v>
      </c>
      <c r="C113" s="10" t="s">
        <v>11</v>
      </c>
      <c r="D113" s="10" t="s">
        <v>14</v>
      </c>
      <c r="E113" s="3">
        <v>6.0</v>
      </c>
      <c r="F113" s="3">
        <v>5.0</v>
      </c>
      <c r="G113" s="3">
        <v>6.0</v>
      </c>
      <c r="H113" s="3">
        <v>1.0</v>
      </c>
      <c r="I113" s="11">
        <f t="shared" si="1"/>
        <v>11</v>
      </c>
      <c r="J113" s="3">
        <v>60.0</v>
      </c>
    </row>
    <row r="114" ht="15.75" customHeight="1">
      <c r="A114" s="3">
        <v>145.0</v>
      </c>
      <c r="B114" s="10" t="s">
        <v>159</v>
      </c>
      <c r="C114" s="10" t="s">
        <v>11</v>
      </c>
      <c r="D114" s="10" t="s">
        <v>14</v>
      </c>
      <c r="E114" s="3">
        <v>6.0</v>
      </c>
      <c r="F114" s="3">
        <v>5.0</v>
      </c>
      <c r="G114" s="3">
        <v>6.0</v>
      </c>
      <c r="H114" s="3">
        <v>1.0</v>
      </c>
      <c r="I114" s="11">
        <f t="shared" si="1"/>
        <v>11</v>
      </c>
      <c r="J114" s="3">
        <v>60.0</v>
      </c>
    </row>
    <row r="115" ht="15.75" customHeight="1">
      <c r="A115" s="3">
        <v>159.0</v>
      </c>
      <c r="B115" s="10" t="s">
        <v>40</v>
      </c>
      <c r="C115" s="10" t="s">
        <v>13</v>
      </c>
      <c r="D115" s="10" t="s">
        <v>14</v>
      </c>
      <c r="E115" s="3">
        <v>5.0</v>
      </c>
      <c r="F115" s="3">
        <v>6.0</v>
      </c>
      <c r="G115" s="3">
        <v>2.0</v>
      </c>
      <c r="H115" s="3">
        <v>1.0</v>
      </c>
      <c r="I115" s="11">
        <f t="shared" si="1"/>
        <v>11</v>
      </c>
      <c r="J115" s="3">
        <v>60.0</v>
      </c>
    </row>
    <row r="116" ht="15.75" customHeight="1">
      <c r="A116" s="3">
        <v>3.0</v>
      </c>
      <c r="B116" s="10" t="s">
        <v>46</v>
      </c>
      <c r="C116" s="10" t="s">
        <v>13</v>
      </c>
      <c r="D116" s="10" t="s">
        <v>14</v>
      </c>
      <c r="E116" s="3">
        <v>5.0</v>
      </c>
      <c r="F116" s="3">
        <v>5.0</v>
      </c>
      <c r="G116" s="3">
        <v>3.0</v>
      </c>
      <c r="H116" s="3">
        <v>1.0</v>
      </c>
      <c r="I116" s="11">
        <f t="shared" si="1"/>
        <v>10</v>
      </c>
      <c r="J116" s="3">
        <v>50.0</v>
      </c>
    </row>
    <row r="117" ht="15.75" customHeight="1">
      <c r="A117" s="3">
        <v>14.0</v>
      </c>
      <c r="B117" s="10" t="s">
        <v>114</v>
      </c>
      <c r="C117" s="10" t="s">
        <v>13</v>
      </c>
      <c r="D117" s="10" t="s">
        <v>14</v>
      </c>
      <c r="E117" s="3">
        <v>5.0</v>
      </c>
      <c r="F117" s="3">
        <v>5.0</v>
      </c>
      <c r="G117" s="3">
        <v>5.0</v>
      </c>
      <c r="H117" s="3">
        <v>-1.0</v>
      </c>
      <c r="I117" s="11">
        <f t="shared" si="1"/>
        <v>10</v>
      </c>
      <c r="J117" s="3">
        <v>50.0</v>
      </c>
    </row>
    <row r="118" ht="15.75" customHeight="1">
      <c r="A118" s="3">
        <v>19.0</v>
      </c>
      <c r="B118" s="10" t="s">
        <v>17</v>
      </c>
      <c r="C118" s="10" t="s">
        <v>13</v>
      </c>
      <c r="D118" s="10" t="s">
        <v>14</v>
      </c>
      <c r="E118" s="3">
        <v>5.0</v>
      </c>
      <c r="F118" s="3">
        <v>5.0</v>
      </c>
      <c r="G118" s="3">
        <v>1.0</v>
      </c>
      <c r="H118" s="3">
        <v>1.0</v>
      </c>
      <c r="I118" s="11">
        <f t="shared" si="1"/>
        <v>10</v>
      </c>
      <c r="J118" s="3">
        <v>60.0</v>
      </c>
      <c r="K118" s="33">
        <v>1.0</v>
      </c>
      <c r="L118" s="33">
        <v>130.0</v>
      </c>
    </row>
    <row r="119" ht="15.75" customHeight="1">
      <c r="A119" s="3">
        <v>21.0</v>
      </c>
      <c r="B119" s="10" t="s">
        <v>81</v>
      </c>
      <c r="C119" s="10" t="s">
        <v>11</v>
      </c>
      <c r="D119" s="10" t="s">
        <v>14</v>
      </c>
      <c r="E119" s="3">
        <v>5.0</v>
      </c>
      <c r="F119" s="3">
        <v>5.0</v>
      </c>
      <c r="G119" s="3">
        <v>4.0</v>
      </c>
      <c r="H119" s="3">
        <v>1.0</v>
      </c>
      <c r="I119" s="11">
        <f t="shared" si="1"/>
        <v>10</v>
      </c>
      <c r="J119" s="3">
        <v>60.0</v>
      </c>
    </row>
    <row r="120" ht="15.75" customHeight="1">
      <c r="A120" s="3">
        <v>23.0</v>
      </c>
      <c r="B120" s="10" t="s">
        <v>22</v>
      </c>
      <c r="C120" s="10" t="s">
        <v>11</v>
      </c>
      <c r="D120" s="10" t="s">
        <v>11</v>
      </c>
      <c r="E120" s="3">
        <v>5.0</v>
      </c>
      <c r="F120" s="3">
        <v>5.0</v>
      </c>
      <c r="G120" s="3">
        <v>2.0</v>
      </c>
      <c r="H120" s="3">
        <v>-1.0</v>
      </c>
      <c r="I120" s="11">
        <f t="shared" si="1"/>
        <v>10</v>
      </c>
      <c r="J120" s="3">
        <v>60.0</v>
      </c>
    </row>
    <row r="121" ht="15.75" customHeight="1">
      <c r="A121" s="3">
        <v>25.0</v>
      </c>
      <c r="B121" s="10" t="s">
        <v>28</v>
      </c>
      <c r="C121" s="10" t="s">
        <v>13</v>
      </c>
      <c r="D121" s="10" t="s">
        <v>14</v>
      </c>
      <c r="E121" s="3">
        <v>5.0</v>
      </c>
      <c r="F121" s="3">
        <v>5.0</v>
      </c>
      <c r="G121" s="3">
        <v>2.0</v>
      </c>
      <c r="H121" s="3">
        <v>1.0</v>
      </c>
      <c r="I121" s="11">
        <f t="shared" si="1"/>
        <v>10</v>
      </c>
      <c r="J121" s="3">
        <v>60.0</v>
      </c>
    </row>
    <row r="122" ht="15.75" customHeight="1">
      <c r="A122" s="3">
        <v>27.0</v>
      </c>
      <c r="B122" s="10" t="s">
        <v>82</v>
      </c>
      <c r="C122" s="10" t="s">
        <v>13</v>
      </c>
      <c r="D122" s="10" t="s">
        <v>14</v>
      </c>
      <c r="E122" s="3">
        <v>5.0</v>
      </c>
      <c r="F122" s="3">
        <v>5.0</v>
      </c>
      <c r="G122" s="3">
        <v>4.0</v>
      </c>
      <c r="H122" s="3">
        <v>1.0</v>
      </c>
      <c r="I122" s="11">
        <f t="shared" si="1"/>
        <v>10</v>
      </c>
      <c r="J122" s="3">
        <v>50.0</v>
      </c>
    </row>
    <row r="123" ht="15.75" customHeight="1">
      <c r="A123" s="3">
        <v>58.0</v>
      </c>
      <c r="B123" s="10" t="s">
        <v>107</v>
      </c>
      <c r="C123" s="10" t="s">
        <v>13</v>
      </c>
      <c r="D123" s="10" t="s">
        <v>11</v>
      </c>
      <c r="E123" s="3">
        <v>6.0</v>
      </c>
      <c r="F123" s="3">
        <v>4.0</v>
      </c>
      <c r="G123" s="3">
        <v>5.0</v>
      </c>
      <c r="H123" s="3">
        <v>-1.0</v>
      </c>
      <c r="I123" s="11">
        <f t="shared" si="1"/>
        <v>10</v>
      </c>
      <c r="J123" s="3">
        <v>60.0</v>
      </c>
    </row>
    <row r="124" ht="15.75" customHeight="1">
      <c r="A124" s="3">
        <v>65.0</v>
      </c>
      <c r="B124" s="10" t="s">
        <v>58</v>
      </c>
      <c r="C124" s="10" t="s">
        <v>11</v>
      </c>
      <c r="D124" s="10" t="s">
        <v>14</v>
      </c>
      <c r="E124" s="3">
        <v>5.0</v>
      </c>
      <c r="F124" s="3">
        <v>5.0</v>
      </c>
      <c r="G124" s="3">
        <v>3.0</v>
      </c>
      <c r="H124" s="3">
        <v>-1.0</v>
      </c>
      <c r="I124" s="11">
        <f t="shared" si="1"/>
        <v>10</v>
      </c>
      <c r="J124" s="3">
        <v>60.0</v>
      </c>
    </row>
    <row r="125" ht="15.75" customHeight="1">
      <c r="A125" s="3">
        <v>77.0</v>
      </c>
      <c r="B125" s="10" t="s">
        <v>23</v>
      </c>
      <c r="C125" s="10" t="s">
        <v>13</v>
      </c>
      <c r="D125" s="10" t="s">
        <v>11</v>
      </c>
      <c r="E125" s="3">
        <v>5.0</v>
      </c>
      <c r="F125" s="3">
        <v>5.0</v>
      </c>
      <c r="G125" s="3">
        <v>2.0</v>
      </c>
      <c r="H125" s="3">
        <v>1.0</v>
      </c>
      <c r="I125" s="11">
        <f t="shared" si="1"/>
        <v>10</v>
      </c>
      <c r="J125" s="3">
        <v>60.0</v>
      </c>
    </row>
    <row r="126" ht="15.75" customHeight="1">
      <c r="A126" s="3">
        <v>89.0</v>
      </c>
      <c r="B126" s="10" t="s">
        <v>37</v>
      </c>
      <c r="C126" s="10" t="s">
        <v>13</v>
      </c>
      <c r="D126" s="10" t="s">
        <v>14</v>
      </c>
      <c r="E126" s="3">
        <v>5.0</v>
      </c>
      <c r="F126" s="3">
        <v>5.0</v>
      </c>
      <c r="G126" s="3">
        <v>2.0</v>
      </c>
      <c r="H126" s="3">
        <v>1.0</v>
      </c>
      <c r="I126" s="11">
        <f t="shared" si="1"/>
        <v>10</v>
      </c>
      <c r="J126" s="3">
        <v>60.0</v>
      </c>
      <c r="K126" s="33" t="s">
        <v>179</v>
      </c>
    </row>
    <row r="127" ht="15.75" customHeight="1">
      <c r="A127" s="3">
        <v>97.0</v>
      </c>
      <c r="B127" s="10" t="s">
        <v>95</v>
      </c>
      <c r="C127" s="10" t="s">
        <v>13</v>
      </c>
      <c r="D127" s="10" t="s">
        <v>14</v>
      </c>
      <c r="E127" s="3">
        <v>5.0</v>
      </c>
      <c r="F127" s="3">
        <v>5.0</v>
      </c>
      <c r="G127" s="3">
        <v>4.0</v>
      </c>
      <c r="H127" s="3">
        <v>-1.0</v>
      </c>
      <c r="I127" s="11">
        <f t="shared" si="1"/>
        <v>10</v>
      </c>
      <c r="J127" s="3">
        <v>60.0</v>
      </c>
    </row>
    <row r="128" ht="15.75" customHeight="1">
      <c r="A128" s="3">
        <v>98.0</v>
      </c>
      <c r="B128" s="10" t="s">
        <v>156</v>
      </c>
      <c r="C128" s="10" t="s">
        <v>11</v>
      </c>
      <c r="D128" s="10" t="s">
        <v>14</v>
      </c>
      <c r="E128" s="3">
        <v>6.0</v>
      </c>
      <c r="F128" s="3">
        <v>4.0</v>
      </c>
      <c r="G128" s="3">
        <v>6.0</v>
      </c>
      <c r="H128" s="3">
        <v>1.0</v>
      </c>
      <c r="I128" s="11">
        <f t="shared" si="1"/>
        <v>10</v>
      </c>
      <c r="J128" s="3">
        <v>60.0</v>
      </c>
      <c r="K128" s="33">
        <v>1.0</v>
      </c>
      <c r="L128" s="33">
        <v>80.0</v>
      </c>
    </row>
    <row r="129" ht="15.75" customHeight="1">
      <c r="A129" s="3">
        <v>104.0</v>
      </c>
      <c r="B129" s="10" t="s">
        <v>62</v>
      </c>
      <c r="C129" s="10" t="s">
        <v>13</v>
      </c>
      <c r="D129" s="10" t="s">
        <v>14</v>
      </c>
      <c r="E129" s="3">
        <v>5.0</v>
      </c>
      <c r="F129" s="3">
        <v>5.0</v>
      </c>
      <c r="G129" s="3">
        <v>3.0</v>
      </c>
      <c r="H129" s="3">
        <v>-1.0</v>
      </c>
      <c r="I129" s="11">
        <f t="shared" si="1"/>
        <v>10</v>
      </c>
      <c r="J129" s="3">
        <v>60.0</v>
      </c>
      <c r="K129" s="33">
        <v>14.0</v>
      </c>
      <c r="L129" s="33">
        <v>105.0</v>
      </c>
    </row>
    <row r="130" ht="15.75" customHeight="1">
      <c r="A130" s="3">
        <v>107.0</v>
      </c>
      <c r="B130" s="10" t="s">
        <v>127</v>
      </c>
      <c r="C130" s="10" t="s">
        <v>11</v>
      </c>
      <c r="D130" s="10" t="s">
        <v>14</v>
      </c>
      <c r="E130" s="3">
        <v>6.0</v>
      </c>
      <c r="F130" s="3">
        <v>4.0</v>
      </c>
      <c r="G130" s="3">
        <v>5.0</v>
      </c>
      <c r="H130" s="3">
        <v>-1.0</v>
      </c>
      <c r="I130" s="11">
        <f t="shared" si="1"/>
        <v>10</v>
      </c>
      <c r="J130" s="3">
        <v>50.0</v>
      </c>
    </row>
    <row r="131" ht="15.75" customHeight="1">
      <c r="A131" s="3">
        <v>111.0</v>
      </c>
      <c r="B131" s="10" t="s">
        <v>99</v>
      </c>
      <c r="C131" s="10" t="s">
        <v>13</v>
      </c>
      <c r="D131" s="10" t="s">
        <v>14</v>
      </c>
      <c r="E131" s="3">
        <v>5.0</v>
      </c>
      <c r="F131" s="3">
        <v>5.0</v>
      </c>
      <c r="G131" s="3">
        <v>4.0</v>
      </c>
      <c r="H131" s="3">
        <v>-1.0</v>
      </c>
      <c r="I131" s="11">
        <f t="shared" si="1"/>
        <v>10</v>
      </c>
      <c r="J131" s="3">
        <v>60.0</v>
      </c>
    </row>
    <row r="132" ht="17.25" customHeight="1">
      <c r="A132" s="3">
        <v>115.0</v>
      </c>
      <c r="B132" s="10" t="s">
        <v>128</v>
      </c>
      <c r="C132" s="10" t="s">
        <v>11</v>
      </c>
      <c r="D132" s="10" t="s">
        <v>14</v>
      </c>
      <c r="E132" s="3">
        <v>5.0</v>
      </c>
      <c r="F132" s="3">
        <v>5.0</v>
      </c>
      <c r="G132" s="3">
        <v>5.0</v>
      </c>
      <c r="H132" s="3">
        <v>1.0</v>
      </c>
      <c r="I132" s="11">
        <f t="shared" si="1"/>
        <v>10</v>
      </c>
      <c r="J132" s="3">
        <v>50.0</v>
      </c>
    </row>
    <row r="133" ht="15.75" customHeight="1">
      <c r="A133" s="3">
        <v>118.0</v>
      </c>
      <c r="B133" s="10" t="s">
        <v>129</v>
      </c>
      <c r="C133" s="10" t="s">
        <v>11</v>
      </c>
      <c r="D133" s="10" t="s">
        <v>14</v>
      </c>
      <c r="E133" s="3">
        <v>5.0</v>
      </c>
      <c r="F133" s="3">
        <v>5.0</v>
      </c>
      <c r="G133" s="3">
        <v>5.0</v>
      </c>
      <c r="H133" s="3">
        <v>1.0</v>
      </c>
      <c r="I133" s="11">
        <f t="shared" si="1"/>
        <v>10</v>
      </c>
      <c r="J133" s="3">
        <v>60.0</v>
      </c>
      <c r="K133" s="33">
        <v>12.0</v>
      </c>
      <c r="L133" s="33">
        <v>60.0</v>
      </c>
    </row>
    <row r="134" ht="15.75" customHeight="1">
      <c r="A134" s="3">
        <v>147.0</v>
      </c>
      <c r="B134" s="10" t="s">
        <v>160</v>
      </c>
      <c r="C134" s="10" t="s">
        <v>11</v>
      </c>
      <c r="D134" s="10" t="s">
        <v>14</v>
      </c>
      <c r="E134" s="3">
        <v>4.0</v>
      </c>
      <c r="F134" s="3">
        <v>6.0</v>
      </c>
      <c r="G134" s="3">
        <v>6.0</v>
      </c>
      <c r="H134" s="3">
        <v>-1.0</v>
      </c>
      <c r="I134" s="11">
        <f t="shared" si="1"/>
        <v>10</v>
      </c>
      <c r="J134" s="3">
        <v>60.0</v>
      </c>
    </row>
    <row r="135" ht="15.75" customHeight="1">
      <c r="A135" s="3">
        <v>148.0</v>
      </c>
      <c r="B135" s="10" t="s">
        <v>104</v>
      </c>
      <c r="C135" s="10" t="s">
        <v>11</v>
      </c>
      <c r="D135" s="10" t="s">
        <v>14</v>
      </c>
      <c r="E135" s="3">
        <v>5.0</v>
      </c>
      <c r="F135" s="3">
        <v>5.0</v>
      </c>
      <c r="G135" s="3">
        <v>4.0</v>
      </c>
      <c r="H135" s="3">
        <v>1.0</v>
      </c>
      <c r="I135" s="11">
        <f t="shared" si="1"/>
        <v>10</v>
      </c>
      <c r="J135" s="3">
        <v>60.0</v>
      </c>
    </row>
    <row r="136" ht="15.75" customHeight="1">
      <c r="A136" s="3">
        <v>157.0</v>
      </c>
      <c r="B136" s="10" t="s">
        <v>74</v>
      </c>
      <c r="C136" s="10" t="s">
        <v>13</v>
      </c>
      <c r="D136" s="10" t="s">
        <v>14</v>
      </c>
      <c r="E136" s="3">
        <v>5.0</v>
      </c>
      <c r="F136" s="3">
        <v>5.0</v>
      </c>
      <c r="G136" s="3">
        <v>3.0</v>
      </c>
      <c r="H136" s="3">
        <v>1.0</v>
      </c>
      <c r="I136" s="11">
        <f t="shared" si="1"/>
        <v>10</v>
      </c>
      <c r="J136" s="3">
        <v>50.0</v>
      </c>
    </row>
    <row r="137" ht="15.75" customHeight="1">
      <c r="A137" s="3">
        <v>9.0</v>
      </c>
      <c r="B137" s="10" t="s">
        <v>25</v>
      </c>
      <c r="C137" s="10" t="s">
        <v>13</v>
      </c>
      <c r="D137" s="10" t="s">
        <v>14</v>
      </c>
      <c r="E137" s="3">
        <v>4.0</v>
      </c>
      <c r="F137" s="3">
        <v>5.0</v>
      </c>
      <c r="G137" s="3">
        <v>2.0</v>
      </c>
      <c r="H137" s="3">
        <v>-1.0</v>
      </c>
      <c r="I137" s="11">
        <f t="shared" si="1"/>
        <v>9</v>
      </c>
      <c r="J137" s="3">
        <v>50.0</v>
      </c>
    </row>
    <row r="138" ht="15.75" customHeight="1">
      <c r="A138" s="3">
        <v>50.0</v>
      </c>
      <c r="B138" s="10" t="s">
        <v>120</v>
      </c>
      <c r="C138" s="10" t="s">
        <v>11</v>
      </c>
      <c r="D138" s="10" t="s">
        <v>14</v>
      </c>
      <c r="E138" s="3">
        <v>5.0</v>
      </c>
      <c r="F138" s="3">
        <v>4.0</v>
      </c>
      <c r="G138" s="3">
        <v>5.0</v>
      </c>
      <c r="H138" s="3">
        <v>-1.0</v>
      </c>
      <c r="I138" s="11">
        <f t="shared" si="1"/>
        <v>9</v>
      </c>
      <c r="J138" s="3">
        <v>40.0</v>
      </c>
    </row>
    <row r="139" ht="15.75" customHeight="1">
      <c r="A139" s="3">
        <v>92.0</v>
      </c>
      <c r="B139" s="10" t="s">
        <v>154</v>
      </c>
      <c r="C139" s="10" t="s">
        <v>11</v>
      </c>
      <c r="D139" s="10" t="s">
        <v>14</v>
      </c>
      <c r="E139" s="3">
        <v>4.0</v>
      </c>
      <c r="F139" s="3">
        <v>5.0</v>
      </c>
      <c r="G139" s="3">
        <v>6.0</v>
      </c>
      <c r="H139" s="3">
        <v>1.0</v>
      </c>
      <c r="I139" s="11">
        <f t="shared" si="1"/>
        <v>9</v>
      </c>
      <c r="J139" s="3">
        <v>40.0</v>
      </c>
    </row>
    <row r="140" ht="15.75" customHeight="1">
      <c r="A140" s="3">
        <v>103.0</v>
      </c>
      <c r="B140" s="10" t="s">
        <v>111</v>
      </c>
      <c r="C140" s="10" t="s">
        <v>11</v>
      </c>
      <c r="D140" s="10" t="s">
        <v>11</v>
      </c>
      <c r="E140" s="3">
        <v>4.0</v>
      </c>
      <c r="F140" s="3">
        <v>5.0</v>
      </c>
      <c r="G140" s="3">
        <v>5.0</v>
      </c>
      <c r="H140" s="3">
        <v>-1.0</v>
      </c>
      <c r="I140" s="11">
        <f t="shared" si="1"/>
        <v>9</v>
      </c>
      <c r="J140" s="3">
        <v>50.0</v>
      </c>
    </row>
    <row r="141" ht="15.75" customHeight="1">
      <c r="A141" s="3">
        <v>112.0</v>
      </c>
      <c r="B141" s="10" t="s">
        <v>100</v>
      </c>
      <c r="C141" s="10" t="s">
        <v>13</v>
      </c>
      <c r="D141" s="10" t="s">
        <v>14</v>
      </c>
      <c r="E141" s="3">
        <v>5.0</v>
      </c>
      <c r="F141" s="3">
        <v>4.0</v>
      </c>
      <c r="G141" s="3">
        <v>4.0</v>
      </c>
      <c r="H141" s="3">
        <v>1.0</v>
      </c>
      <c r="I141" s="11">
        <f t="shared" si="1"/>
        <v>9</v>
      </c>
      <c r="J141" s="3">
        <v>50.0</v>
      </c>
    </row>
    <row r="142" ht="15.75" customHeight="1">
      <c r="A142" s="3">
        <v>123.0</v>
      </c>
      <c r="B142" s="10" t="s">
        <v>68</v>
      </c>
      <c r="C142" s="10" t="s">
        <v>13</v>
      </c>
      <c r="D142" s="10" t="s">
        <v>14</v>
      </c>
      <c r="E142" s="3">
        <v>4.0</v>
      </c>
      <c r="F142" s="3">
        <v>5.0</v>
      </c>
      <c r="G142" s="3">
        <v>3.0</v>
      </c>
      <c r="H142" s="3">
        <v>1.0</v>
      </c>
      <c r="I142" s="11">
        <f t="shared" si="1"/>
        <v>9</v>
      </c>
      <c r="J142" s="3">
        <v>50.0</v>
      </c>
    </row>
    <row r="143" ht="15.75" customHeight="1">
      <c r="A143" s="3">
        <v>134.0</v>
      </c>
      <c r="B143" s="10" t="s">
        <v>24</v>
      </c>
      <c r="C143" s="10" t="s">
        <v>11</v>
      </c>
      <c r="D143" s="10" t="s">
        <v>11</v>
      </c>
      <c r="E143" s="3">
        <v>4.0</v>
      </c>
      <c r="F143" s="3">
        <v>5.0</v>
      </c>
      <c r="G143" s="3">
        <v>2.0</v>
      </c>
      <c r="H143" s="3">
        <v>-1.0</v>
      </c>
      <c r="I143" s="11">
        <f t="shared" si="1"/>
        <v>9</v>
      </c>
      <c r="J143" s="3">
        <v>50.0</v>
      </c>
    </row>
    <row r="144" ht="15.75" customHeight="1">
      <c r="A144" s="3">
        <v>135.0</v>
      </c>
      <c r="B144" s="10" t="s">
        <v>103</v>
      </c>
      <c r="C144" s="10" t="s">
        <v>13</v>
      </c>
      <c r="D144" s="10" t="s">
        <v>14</v>
      </c>
      <c r="E144" s="3">
        <v>5.0</v>
      </c>
      <c r="F144" s="3">
        <v>4.0</v>
      </c>
      <c r="G144" s="3">
        <v>4.0</v>
      </c>
      <c r="H144" s="3">
        <v>1.0</v>
      </c>
      <c r="I144" s="11">
        <f t="shared" si="1"/>
        <v>9</v>
      </c>
      <c r="J144" s="3">
        <v>40.0</v>
      </c>
    </row>
    <row r="145" ht="15.75" customHeight="1">
      <c r="A145" s="3">
        <v>137.0</v>
      </c>
      <c r="B145" s="10" t="s">
        <v>71</v>
      </c>
      <c r="C145" s="10" t="s">
        <v>13</v>
      </c>
      <c r="D145" s="10" t="s">
        <v>14</v>
      </c>
      <c r="E145" s="3">
        <v>6.0</v>
      </c>
      <c r="F145" s="3">
        <v>3.0</v>
      </c>
      <c r="G145" s="3">
        <v>3.0</v>
      </c>
      <c r="H145" s="3">
        <v>-1.0</v>
      </c>
      <c r="I145" s="11">
        <f t="shared" si="1"/>
        <v>9</v>
      </c>
      <c r="J145" s="3">
        <v>60.0</v>
      </c>
    </row>
    <row r="146" ht="15.75" customHeight="1">
      <c r="A146" s="3">
        <v>139.0</v>
      </c>
      <c r="B146" s="10" t="s">
        <v>135</v>
      </c>
      <c r="C146" s="10" t="s">
        <v>13</v>
      </c>
      <c r="D146" s="10" t="s">
        <v>14</v>
      </c>
      <c r="E146" s="3">
        <v>5.0</v>
      </c>
      <c r="F146" s="3">
        <v>4.0</v>
      </c>
      <c r="G146" s="3">
        <v>5.0</v>
      </c>
      <c r="H146" s="3">
        <v>-1.0</v>
      </c>
      <c r="I146" s="11">
        <f t="shared" si="1"/>
        <v>9</v>
      </c>
      <c r="J146" s="3">
        <v>50.0</v>
      </c>
    </row>
    <row r="147" ht="15.75" customHeight="1">
      <c r="A147" s="3">
        <v>10.0</v>
      </c>
      <c r="B147" s="15" t="s">
        <v>41</v>
      </c>
      <c r="C147" s="15" t="s">
        <v>11</v>
      </c>
      <c r="D147" s="15" t="s">
        <v>11</v>
      </c>
      <c r="E147" s="15">
        <v>4.0</v>
      </c>
      <c r="F147" s="15">
        <v>4.0</v>
      </c>
      <c r="G147" s="15">
        <v>3.0</v>
      </c>
      <c r="H147" s="15">
        <v>1.0</v>
      </c>
      <c r="I147" s="11">
        <f t="shared" si="1"/>
        <v>8</v>
      </c>
      <c r="J147" s="15">
        <v>50.0</v>
      </c>
    </row>
    <row r="148" ht="15.75" customHeight="1">
      <c r="A148" s="3">
        <v>52.0</v>
      </c>
      <c r="B148" s="10" t="s">
        <v>56</v>
      </c>
      <c r="C148" s="10" t="s">
        <v>13</v>
      </c>
      <c r="D148" s="10" t="s">
        <v>14</v>
      </c>
      <c r="E148" s="3">
        <v>4.0</v>
      </c>
      <c r="F148" s="3">
        <v>4.0</v>
      </c>
      <c r="G148" s="3">
        <v>3.0</v>
      </c>
      <c r="H148" s="3">
        <v>-1.0</v>
      </c>
      <c r="I148" s="11">
        <f t="shared" si="1"/>
        <v>8</v>
      </c>
      <c r="J148" s="3">
        <v>40.0</v>
      </c>
      <c r="K148" s="33">
        <v>20.0</v>
      </c>
      <c r="L148" s="33">
        <v>90.0</v>
      </c>
    </row>
    <row r="149" ht="15.75" customHeight="1">
      <c r="A149" s="3">
        <v>73.0</v>
      </c>
      <c r="B149" s="10" t="s">
        <v>35</v>
      </c>
      <c r="C149" s="10" t="s">
        <v>11</v>
      </c>
      <c r="D149" s="10" t="s">
        <v>14</v>
      </c>
      <c r="E149" s="3">
        <v>4.0</v>
      </c>
      <c r="F149" s="3">
        <v>4.0</v>
      </c>
      <c r="G149" s="3">
        <v>2.0</v>
      </c>
      <c r="H149" s="3">
        <v>1.0</v>
      </c>
      <c r="I149" s="11">
        <f t="shared" si="1"/>
        <v>8</v>
      </c>
      <c r="J149" s="3">
        <v>40.0</v>
      </c>
    </row>
    <row r="150" ht="15.75" customHeight="1">
      <c r="A150" s="3">
        <v>85.0</v>
      </c>
      <c r="B150" s="10" t="s">
        <v>152</v>
      </c>
      <c r="C150" s="10" t="s">
        <v>11</v>
      </c>
      <c r="D150" s="10" t="s">
        <v>14</v>
      </c>
      <c r="E150" s="3">
        <v>4.0</v>
      </c>
      <c r="F150" s="3">
        <v>4.0</v>
      </c>
      <c r="G150" s="3">
        <v>6.0</v>
      </c>
      <c r="H150" s="3">
        <v>1.0</v>
      </c>
      <c r="I150" s="11">
        <f t="shared" si="1"/>
        <v>8</v>
      </c>
      <c r="J150" s="3">
        <v>40.0</v>
      </c>
    </row>
    <row r="151" ht="15.75" customHeight="1">
      <c r="A151" s="3">
        <v>105.0</v>
      </c>
      <c r="B151" s="10" t="s">
        <v>126</v>
      </c>
      <c r="C151" s="10" t="s">
        <v>11</v>
      </c>
      <c r="D151" s="10" t="s">
        <v>14</v>
      </c>
      <c r="E151" s="3">
        <v>4.0</v>
      </c>
      <c r="F151" s="3">
        <v>4.0</v>
      </c>
      <c r="G151" s="3">
        <v>5.0</v>
      </c>
      <c r="H151" s="3">
        <v>-1.0</v>
      </c>
      <c r="I151" s="11">
        <f t="shared" si="1"/>
        <v>8</v>
      </c>
      <c r="J151" s="3">
        <v>40.0</v>
      </c>
    </row>
    <row r="152" ht="15.75" customHeight="1">
      <c r="A152" s="3">
        <v>126.0</v>
      </c>
      <c r="B152" s="10" t="s">
        <v>69</v>
      </c>
      <c r="C152" s="10" t="s">
        <v>13</v>
      </c>
      <c r="D152" s="10" t="s">
        <v>14</v>
      </c>
      <c r="E152" s="3">
        <v>4.0</v>
      </c>
      <c r="F152" s="3">
        <v>4.0</v>
      </c>
      <c r="G152" s="3">
        <v>3.0</v>
      </c>
      <c r="H152" s="3">
        <v>1.0</v>
      </c>
      <c r="I152" s="11">
        <f t="shared" si="1"/>
        <v>8</v>
      </c>
      <c r="J152" s="3">
        <v>50.0</v>
      </c>
    </row>
    <row r="153" ht="15.75" customHeight="1">
      <c r="A153" s="3">
        <v>128.0</v>
      </c>
      <c r="B153" s="10" t="s">
        <v>131</v>
      </c>
      <c r="C153" s="10" t="s">
        <v>13</v>
      </c>
      <c r="D153" s="10" t="s">
        <v>14</v>
      </c>
      <c r="E153" s="3">
        <v>4.0</v>
      </c>
      <c r="F153" s="3">
        <v>4.0</v>
      </c>
      <c r="G153" s="3">
        <v>5.0</v>
      </c>
      <c r="H153" s="3">
        <v>1.0</v>
      </c>
      <c r="I153" s="11">
        <f t="shared" si="1"/>
        <v>8</v>
      </c>
      <c r="J153" s="3">
        <v>40.0</v>
      </c>
    </row>
    <row r="154" ht="15.75" customHeight="1">
      <c r="A154" s="3">
        <v>132.0</v>
      </c>
      <c r="B154" s="10" t="s">
        <v>78</v>
      </c>
      <c r="C154" s="10" t="s">
        <v>13</v>
      </c>
      <c r="D154" s="10" t="s">
        <v>11</v>
      </c>
      <c r="E154" s="3">
        <v>4.0</v>
      </c>
      <c r="F154" s="3">
        <v>4.0</v>
      </c>
      <c r="G154" s="3">
        <v>4.0</v>
      </c>
      <c r="H154" s="3">
        <v>1.0</v>
      </c>
      <c r="I154" s="11">
        <f t="shared" si="1"/>
        <v>8</v>
      </c>
      <c r="J154" s="3">
        <v>50.0</v>
      </c>
    </row>
    <row r="155" ht="15.75" customHeight="1">
      <c r="A155" s="3">
        <v>156.0</v>
      </c>
      <c r="B155" s="10" t="s">
        <v>73</v>
      </c>
      <c r="C155" s="10" t="s">
        <v>13</v>
      </c>
      <c r="D155" s="10" t="s">
        <v>14</v>
      </c>
      <c r="E155" s="3">
        <v>4.0</v>
      </c>
      <c r="F155" s="3">
        <v>4.0</v>
      </c>
      <c r="G155" s="3">
        <v>3.0</v>
      </c>
      <c r="H155" s="3">
        <v>1.0</v>
      </c>
      <c r="I155" s="11">
        <f t="shared" si="1"/>
        <v>8</v>
      </c>
      <c r="J155" s="3">
        <v>40.0</v>
      </c>
      <c r="K155" s="33">
        <v>1.0</v>
      </c>
      <c r="L155" s="33">
        <v>90.0</v>
      </c>
    </row>
    <row r="156" ht="15.75" customHeight="1">
      <c r="A156" s="3">
        <v>158.0</v>
      </c>
      <c r="B156" s="10" t="s">
        <v>161</v>
      </c>
      <c r="C156" s="10" t="s">
        <v>11</v>
      </c>
      <c r="D156" s="10" t="s">
        <v>14</v>
      </c>
      <c r="E156" s="3">
        <v>3.0</v>
      </c>
      <c r="F156" s="3">
        <v>5.0</v>
      </c>
      <c r="G156" s="3">
        <v>6.0</v>
      </c>
      <c r="H156" s="3">
        <v>-1.0</v>
      </c>
      <c r="I156" s="11">
        <f t="shared" si="1"/>
        <v>8</v>
      </c>
      <c r="J156" s="3">
        <v>40.0</v>
      </c>
    </row>
    <row r="157" ht="15.75" customHeight="1">
      <c r="A157" s="3">
        <v>7.0</v>
      </c>
      <c r="B157" s="10" t="s">
        <v>47</v>
      </c>
      <c r="C157" s="10" t="s">
        <v>13</v>
      </c>
      <c r="D157" s="10" t="s">
        <v>14</v>
      </c>
      <c r="E157" s="3">
        <v>3.0</v>
      </c>
      <c r="F157" s="3">
        <v>3.0</v>
      </c>
      <c r="G157" s="3">
        <v>3.0</v>
      </c>
      <c r="H157" s="3">
        <v>-1.0</v>
      </c>
      <c r="I157" s="11">
        <f t="shared" si="1"/>
        <v>6</v>
      </c>
      <c r="J157" s="3">
        <v>30.0</v>
      </c>
    </row>
    <row r="158" ht="15.75" customHeight="1">
      <c r="A158" s="3">
        <v>29.0</v>
      </c>
      <c r="B158" s="10" t="s">
        <v>75</v>
      </c>
      <c r="C158" s="10" t="s">
        <v>13</v>
      </c>
      <c r="D158" s="10" t="s">
        <v>11</v>
      </c>
      <c r="E158" s="3">
        <v>3.0</v>
      </c>
      <c r="F158" s="3">
        <v>3.0</v>
      </c>
      <c r="G158" s="3">
        <v>4.0</v>
      </c>
      <c r="H158" s="3">
        <v>1.0</v>
      </c>
      <c r="I158" s="11">
        <f t="shared" si="1"/>
        <v>6</v>
      </c>
      <c r="J158" s="3">
        <v>30.0</v>
      </c>
    </row>
    <row r="159" ht="15.75" customHeight="1">
      <c r="A159" s="3">
        <v>76.0</v>
      </c>
      <c r="B159" s="10" t="s">
        <v>60</v>
      </c>
      <c r="C159" s="10" t="s">
        <v>13</v>
      </c>
      <c r="D159" s="10" t="s">
        <v>14</v>
      </c>
      <c r="E159" s="3">
        <v>3.0</v>
      </c>
      <c r="F159" s="3">
        <v>3.0</v>
      </c>
      <c r="G159" s="3">
        <v>3.0</v>
      </c>
      <c r="H159" s="3">
        <v>1.0</v>
      </c>
      <c r="I159" s="11">
        <f t="shared" si="1"/>
        <v>6</v>
      </c>
      <c r="J159" s="3">
        <v>30.0</v>
      </c>
    </row>
    <row r="160" ht="15.75" customHeight="1">
      <c r="A160" s="3">
        <v>94.0</v>
      </c>
      <c r="B160" s="10" t="s">
        <v>94</v>
      </c>
      <c r="C160" s="10" t="s">
        <v>13</v>
      </c>
      <c r="D160" s="10" t="s">
        <v>14</v>
      </c>
      <c r="E160" s="3">
        <v>3.0</v>
      </c>
      <c r="F160" s="3">
        <v>3.0</v>
      </c>
      <c r="G160" s="3">
        <v>4.0</v>
      </c>
      <c r="H160" s="3">
        <v>1.0</v>
      </c>
      <c r="I160" s="11">
        <f t="shared" si="1"/>
        <v>6</v>
      </c>
      <c r="J160" s="3">
        <v>30.0</v>
      </c>
    </row>
    <row r="161" ht="15.75" customHeight="1">
      <c r="A161" s="3">
        <v>56.0</v>
      </c>
      <c r="B161" s="10" t="s">
        <v>76</v>
      </c>
      <c r="C161" s="10" t="s">
        <v>11</v>
      </c>
      <c r="D161" s="10" t="s">
        <v>11</v>
      </c>
      <c r="E161" s="3">
        <v>1.0</v>
      </c>
      <c r="F161" s="3">
        <v>2.0</v>
      </c>
      <c r="G161" s="3">
        <v>4.0</v>
      </c>
      <c r="H161" s="3">
        <v>1.0</v>
      </c>
      <c r="I161" s="11">
        <f t="shared" si="1"/>
        <v>3</v>
      </c>
      <c r="J161" s="3">
        <v>30.0</v>
      </c>
    </row>
    <row r="162" ht="15.75" customHeight="1">
      <c r="B162" s="23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>
      <c r="B172" s="24"/>
    </row>
    <row r="173" ht="15.75" customHeight="1"/>
    <row r="174" ht="15.75" customHeight="1">
      <c r="B174" s="23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19.5"/>
    <col customWidth="1" min="3" max="6" width="12.63"/>
  </cols>
  <sheetData>
    <row r="1" ht="15.75" customHeight="1">
      <c r="A1" s="3">
        <v>6.0</v>
      </c>
      <c r="B1" s="10" t="s">
        <v>143</v>
      </c>
      <c r="C1" s="10" t="s">
        <v>11</v>
      </c>
      <c r="D1" s="10" t="s">
        <v>14</v>
      </c>
      <c r="E1" s="3">
        <v>5.0</v>
      </c>
      <c r="F1" s="3">
        <v>6.0</v>
      </c>
      <c r="G1" s="3">
        <v>6.0</v>
      </c>
      <c r="H1" s="3">
        <v>1.0</v>
      </c>
      <c r="I1" s="11">
        <f t="shared" ref="I1:I31" si="1">sum(E1,F1)</f>
        <v>11</v>
      </c>
      <c r="J1" s="3">
        <v>60.0</v>
      </c>
      <c r="K1" s="33">
        <v>1.0</v>
      </c>
      <c r="L1" s="33">
        <v>90.0</v>
      </c>
      <c r="M1" s="34">
        <f t="shared" ref="M1:M31" si="2">L1/I1</f>
        <v>8.181818182</v>
      </c>
    </row>
    <row r="2" ht="15.75" customHeight="1">
      <c r="A2" s="3">
        <v>12.0</v>
      </c>
      <c r="B2" s="10" t="s">
        <v>26</v>
      </c>
      <c r="C2" s="10" t="s">
        <v>13</v>
      </c>
      <c r="D2" s="10" t="s">
        <v>14</v>
      </c>
      <c r="E2" s="3">
        <v>8.0</v>
      </c>
      <c r="F2" s="3">
        <v>8.0</v>
      </c>
      <c r="G2" s="3">
        <v>2.0</v>
      </c>
      <c r="H2" s="3">
        <v>1.0</v>
      </c>
      <c r="I2" s="11">
        <f t="shared" si="1"/>
        <v>16</v>
      </c>
      <c r="J2" s="3">
        <v>100.0</v>
      </c>
      <c r="K2" s="33">
        <v>1.0</v>
      </c>
      <c r="L2" s="33">
        <v>175.0</v>
      </c>
      <c r="M2" s="34">
        <f t="shared" si="2"/>
        <v>10.9375</v>
      </c>
    </row>
    <row r="3" ht="15.75" customHeight="1">
      <c r="A3" s="3">
        <v>19.0</v>
      </c>
      <c r="B3" s="10" t="s">
        <v>17</v>
      </c>
      <c r="C3" s="10" t="s">
        <v>13</v>
      </c>
      <c r="D3" s="10" t="s">
        <v>14</v>
      </c>
      <c r="E3" s="3">
        <v>5.0</v>
      </c>
      <c r="F3" s="3">
        <v>5.0</v>
      </c>
      <c r="G3" s="3">
        <v>1.0</v>
      </c>
      <c r="H3" s="3">
        <v>1.0</v>
      </c>
      <c r="I3" s="11">
        <f t="shared" si="1"/>
        <v>10</v>
      </c>
      <c r="J3" s="3">
        <v>60.0</v>
      </c>
      <c r="K3" s="33">
        <v>1.0</v>
      </c>
      <c r="L3" s="33">
        <v>130.0</v>
      </c>
      <c r="M3" s="34">
        <f t="shared" si="2"/>
        <v>13</v>
      </c>
    </row>
    <row r="4" ht="15.75" customHeight="1">
      <c r="A4" s="3">
        <v>31.0</v>
      </c>
      <c r="B4" s="10" t="s">
        <v>42</v>
      </c>
      <c r="C4" s="10" t="s">
        <v>11</v>
      </c>
      <c r="D4" s="10" t="s">
        <v>11</v>
      </c>
      <c r="E4" s="3">
        <v>7.0</v>
      </c>
      <c r="F4" s="3">
        <v>6.0</v>
      </c>
      <c r="G4" s="3">
        <v>3.0</v>
      </c>
      <c r="H4" s="3">
        <v>1.0</v>
      </c>
      <c r="I4" s="11">
        <f t="shared" si="1"/>
        <v>13</v>
      </c>
      <c r="J4" s="3">
        <v>80.0</v>
      </c>
      <c r="K4" s="33">
        <v>1.0</v>
      </c>
      <c r="L4" s="33">
        <v>145.0</v>
      </c>
      <c r="M4" s="34">
        <f t="shared" si="2"/>
        <v>11.15384615</v>
      </c>
    </row>
    <row r="5" ht="15.75" customHeight="1">
      <c r="A5" s="3">
        <v>98.0</v>
      </c>
      <c r="B5" s="10" t="s">
        <v>156</v>
      </c>
      <c r="C5" s="10" t="s">
        <v>11</v>
      </c>
      <c r="D5" s="10" t="s">
        <v>14</v>
      </c>
      <c r="E5" s="3">
        <v>6.0</v>
      </c>
      <c r="F5" s="3">
        <v>4.0</v>
      </c>
      <c r="G5" s="3">
        <v>6.0</v>
      </c>
      <c r="H5" s="3">
        <v>1.0</v>
      </c>
      <c r="I5" s="11">
        <f t="shared" si="1"/>
        <v>10</v>
      </c>
      <c r="J5" s="3">
        <v>60.0</v>
      </c>
      <c r="K5" s="33">
        <v>1.0</v>
      </c>
      <c r="L5" s="33">
        <v>80.0</v>
      </c>
      <c r="M5" s="34">
        <f t="shared" si="2"/>
        <v>8</v>
      </c>
    </row>
    <row r="6" ht="15.75" customHeight="1">
      <c r="A6" s="3">
        <v>156.0</v>
      </c>
      <c r="B6" s="10" t="s">
        <v>73</v>
      </c>
      <c r="C6" s="10" t="s">
        <v>13</v>
      </c>
      <c r="D6" s="10" t="s">
        <v>14</v>
      </c>
      <c r="E6" s="3">
        <v>4.0</v>
      </c>
      <c r="F6" s="3">
        <v>4.0</v>
      </c>
      <c r="G6" s="3">
        <v>3.0</v>
      </c>
      <c r="H6" s="3">
        <v>1.0</v>
      </c>
      <c r="I6" s="11">
        <f t="shared" si="1"/>
        <v>8</v>
      </c>
      <c r="J6" s="3">
        <v>40.0</v>
      </c>
      <c r="K6" s="33">
        <v>1.0</v>
      </c>
      <c r="L6" s="33">
        <v>90.0</v>
      </c>
      <c r="M6" s="34">
        <f t="shared" si="2"/>
        <v>11.25</v>
      </c>
    </row>
    <row r="7" ht="15.75" customHeight="1">
      <c r="A7" s="3">
        <v>160.0</v>
      </c>
      <c r="B7" s="10" t="s">
        <v>141</v>
      </c>
      <c r="C7" s="10" t="s">
        <v>13</v>
      </c>
      <c r="D7" s="10" t="s">
        <v>14</v>
      </c>
      <c r="E7" s="3">
        <v>7.0</v>
      </c>
      <c r="F7" s="3">
        <v>7.0</v>
      </c>
      <c r="G7" s="3">
        <v>5.0</v>
      </c>
      <c r="H7" s="3">
        <v>1.0</v>
      </c>
      <c r="I7" s="11">
        <f t="shared" si="1"/>
        <v>14</v>
      </c>
      <c r="J7" s="3">
        <v>80.0</v>
      </c>
      <c r="K7" s="33">
        <v>1.0</v>
      </c>
      <c r="L7" s="33">
        <v>155.0</v>
      </c>
      <c r="M7" s="34">
        <f t="shared" si="2"/>
        <v>11.07142857</v>
      </c>
      <c r="N7" s="34">
        <f>AVERAGE(M1:M7)</f>
        <v>10.51351327</v>
      </c>
    </row>
    <row r="8" ht="15.75" customHeight="1">
      <c r="A8" s="3">
        <v>95.0</v>
      </c>
      <c r="B8" s="10" t="s">
        <v>109</v>
      </c>
      <c r="C8" s="10" t="s">
        <v>11</v>
      </c>
      <c r="D8" s="10" t="s">
        <v>11</v>
      </c>
      <c r="E8" s="3">
        <v>6.0</v>
      </c>
      <c r="F8" s="3">
        <v>6.0</v>
      </c>
      <c r="G8" s="3">
        <v>5.0</v>
      </c>
      <c r="H8" s="3">
        <v>-1.0</v>
      </c>
      <c r="I8" s="11">
        <f t="shared" si="1"/>
        <v>12</v>
      </c>
      <c r="J8" s="3">
        <v>60.0</v>
      </c>
      <c r="K8" s="33">
        <v>3.0</v>
      </c>
      <c r="L8" s="33">
        <v>120.0</v>
      </c>
      <c r="M8" s="34">
        <f t="shared" si="2"/>
        <v>10</v>
      </c>
    </row>
    <row r="9" ht="15.75" customHeight="1">
      <c r="A9" s="13">
        <v>30.0</v>
      </c>
      <c r="B9" s="12" t="s">
        <v>117</v>
      </c>
      <c r="C9" s="12" t="s">
        <v>13</v>
      </c>
      <c r="D9" s="12" t="s">
        <v>14</v>
      </c>
      <c r="E9" s="13">
        <v>9.0</v>
      </c>
      <c r="F9" s="13">
        <v>8.0</v>
      </c>
      <c r="G9" s="13">
        <v>5.0</v>
      </c>
      <c r="H9" s="13">
        <v>1.0</v>
      </c>
      <c r="I9" s="14">
        <f t="shared" si="1"/>
        <v>17</v>
      </c>
      <c r="J9" s="13">
        <v>120.0</v>
      </c>
      <c r="K9" s="35">
        <v>9.0</v>
      </c>
      <c r="L9" s="35">
        <v>185.0</v>
      </c>
      <c r="M9" s="34">
        <f t="shared" si="2"/>
        <v>10.88235294</v>
      </c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</row>
    <row r="10" ht="15.75" customHeight="1">
      <c r="A10" s="3">
        <v>38.0</v>
      </c>
      <c r="B10" s="10" t="s">
        <v>84</v>
      </c>
      <c r="C10" s="10" t="s">
        <v>11</v>
      </c>
      <c r="D10" s="10" t="s">
        <v>14</v>
      </c>
      <c r="E10" s="3">
        <v>8.0</v>
      </c>
      <c r="F10" s="3">
        <v>8.0</v>
      </c>
      <c r="G10" s="3">
        <v>4.0</v>
      </c>
      <c r="H10" s="3">
        <v>-1.0</v>
      </c>
      <c r="I10" s="11">
        <f t="shared" si="1"/>
        <v>16</v>
      </c>
      <c r="J10" s="3">
        <v>100.0</v>
      </c>
      <c r="K10" s="33">
        <v>10.0</v>
      </c>
      <c r="L10" s="33">
        <v>180.0</v>
      </c>
      <c r="M10" s="34">
        <f t="shared" si="2"/>
        <v>11.25</v>
      </c>
    </row>
    <row r="11" ht="15.75" customHeight="1">
      <c r="A11" s="3">
        <v>119.0</v>
      </c>
      <c r="B11" s="10" t="s">
        <v>38</v>
      </c>
      <c r="C11" s="10" t="s">
        <v>13</v>
      </c>
      <c r="D11" s="10" t="s">
        <v>14</v>
      </c>
      <c r="E11" s="3">
        <v>10.0</v>
      </c>
      <c r="F11" s="3">
        <v>10.0</v>
      </c>
      <c r="G11" s="3">
        <v>2.0</v>
      </c>
      <c r="H11" s="3">
        <v>-1.0</v>
      </c>
      <c r="I11" s="11">
        <f t="shared" si="1"/>
        <v>20</v>
      </c>
      <c r="J11" s="3">
        <v>120.0</v>
      </c>
      <c r="K11" s="33">
        <v>10.0</v>
      </c>
      <c r="L11" s="33">
        <v>195.0</v>
      </c>
      <c r="M11" s="34">
        <f t="shared" si="2"/>
        <v>9.75</v>
      </c>
    </row>
    <row r="12" ht="15.75" customHeight="1">
      <c r="A12" s="3">
        <v>130.0</v>
      </c>
      <c r="B12" s="10" t="s">
        <v>70</v>
      </c>
      <c r="C12" s="10" t="s">
        <v>13</v>
      </c>
      <c r="D12" s="10" t="s">
        <v>14</v>
      </c>
      <c r="E12" s="3">
        <v>6.0</v>
      </c>
      <c r="F12" s="3">
        <v>6.0</v>
      </c>
      <c r="G12" s="3">
        <v>3.0</v>
      </c>
      <c r="H12" s="3">
        <v>1.0</v>
      </c>
      <c r="I12" s="11">
        <f t="shared" si="1"/>
        <v>12</v>
      </c>
      <c r="J12" s="3">
        <v>60.0</v>
      </c>
      <c r="K12" s="33">
        <v>10.0</v>
      </c>
      <c r="L12" s="33">
        <v>130.0</v>
      </c>
      <c r="M12" s="34">
        <f t="shared" si="2"/>
        <v>10.83333333</v>
      </c>
      <c r="N12" s="34">
        <f>average(M10:M12)</f>
        <v>10.61111111</v>
      </c>
    </row>
    <row r="13" ht="15.75" customHeight="1">
      <c r="A13" s="3">
        <v>127.0</v>
      </c>
      <c r="B13" s="10" t="s">
        <v>45</v>
      </c>
      <c r="C13" s="10" t="s">
        <v>13</v>
      </c>
      <c r="D13" s="10" t="s">
        <v>11</v>
      </c>
      <c r="E13" s="3">
        <v>6.0</v>
      </c>
      <c r="F13" s="3">
        <v>6.0</v>
      </c>
      <c r="G13" s="3">
        <v>3.0</v>
      </c>
      <c r="H13" s="3">
        <v>-1.0</v>
      </c>
      <c r="I13" s="11">
        <f t="shared" si="1"/>
        <v>12</v>
      </c>
      <c r="J13" s="3">
        <v>60.0</v>
      </c>
      <c r="K13" s="33">
        <v>11.0</v>
      </c>
      <c r="L13" s="33">
        <v>150.0</v>
      </c>
      <c r="M13" s="34">
        <f t="shared" si="2"/>
        <v>12.5</v>
      </c>
    </row>
    <row r="14" ht="15.75" customHeight="1">
      <c r="A14" s="3">
        <v>154.0</v>
      </c>
      <c r="B14" s="10" t="s">
        <v>39</v>
      </c>
      <c r="C14" s="10" t="s">
        <v>13</v>
      </c>
      <c r="D14" s="10" t="s">
        <v>14</v>
      </c>
      <c r="E14" s="3">
        <v>8.0</v>
      </c>
      <c r="F14" s="3">
        <v>7.0</v>
      </c>
      <c r="G14" s="3">
        <v>2.0</v>
      </c>
      <c r="H14" s="3">
        <v>1.0</v>
      </c>
      <c r="I14" s="11">
        <f t="shared" si="1"/>
        <v>15</v>
      </c>
      <c r="J14" s="3">
        <v>80.0</v>
      </c>
      <c r="K14" s="33">
        <v>11.0</v>
      </c>
      <c r="L14" s="33">
        <v>160.0</v>
      </c>
      <c r="M14" s="34">
        <f t="shared" si="2"/>
        <v>10.66666667</v>
      </c>
      <c r="N14" s="34">
        <f>AVERAGE(M13:M14)</f>
        <v>11.58333333</v>
      </c>
    </row>
    <row r="15" ht="15.75" customHeight="1">
      <c r="A15" s="3">
        <v>16.0</v>
      </c>
      <c r="B15" s="10" t="s">
        <v>144</v>
      </c>
      <c r="C15" s="10" t="s">
        <v>11</v>
      </c>
      <c r="D15" s="10" t="s">
        <v>14</v>
      </c>
      <c r="E15" s="3">
        <v>7.0</v>
      </c>
      <c r="F15" s="3">
        <v>7.0</v>
      </c>
      <c r="G15" s="3">
        <v>6.0</v>
      </c>
      <c r="H15" s="3">
        <v>-1.0</v>
      </c>
      <c r="I15" s="11">
        <f t="shared" si="1"/>
        <v>14</v>
      </c>
      <c r="J15" s="3">
        <v>80.0</v>
      </c>
      <c r="K15" s="33">
        <v>12.0</v>
      </c>
      <c r="L15" s="33">
        <v>120.0</v>
      </c>
      <c r="M15" s="34">
        <f t="shared" si="2"/>
        <v>8.571428571</v>
      </c>
    </row>
    <row r="16" ht="15.75" customHeight="1">
      <c r="A16" s="3">
        <v>17.0</v>
      </c>
      <c r="B16" s="10" t="s">
        <v>106</v>
      </c>
      <c r="C16" s="10" t="s">
        <v>13</v>
      </c>
      <c r="D16" s="10" t="s">
        <v>11</v>
      </c>
      <c r="E16" s="3">
        <v>5.0</v>
      </c>
      <c r="F16" s="3">
        <v>6.0</v>
      </c>
      <c r="G16" s="3">
        <v>5.0</v>
      </c>
      <c r="H16" s="3">
        <v>-1.0</v>
      </c>
      <c r="I16" s="11">
        <f t="shared" si="1"/>
        <v>11</v>
      </c>
      <c r="J16" s="3">
        <v>60.0</v>
      </c>
      <c r="K16" s="33">
        <v>12.0</v>
      </c>
      <c r="L16" s="33">
        <v>120.0</v>
      </c>
      <c r="M16" s="34">
        <f t="shared" si="2"/>
        <v>10.90909091</v>
      </c>
    </row>
    <row r="17" ht="15.75" customHeight="1">
      <c r="A17" s="3">
        <v>108.0</v>
      </c>
      <c r="B17" s="10" t="s">
        <v>64</v>
      </c>
      <c r="C17" s="10" t="s">
        <v>13</v>
      </c>
      <c r="D17" s="10" t="s">
        <v>14</v>
      </c>
      <c r="E17" s="3">
        <v>6.0</v>
      </c>
      <c r="F17" s="3">
        <v>7.0</v>
      </c>
      <c r="G17" s="3">
        <v>3.0</v>
      </c>
      <c r="H17" s="3">
        <v>1.0</v>
      </c>
      <c r="I17" s="11">
        <f t="shared" si="1"/>
        <v>13</v>
      </c>
      <c r="J17" s="3">
        <v>80.0</v>
      </c>
      <c r="K17" s="33">
        <v>12.0</v>
      </c>
      <c r="L17" s="33">
        <v>135.0</v>
      </c>
      <c r="M17" s="34">
        <f t="shared" si="2"/>
        <v>10.38461538</v>
      </c>
    </row>
    <row r="18" ht="15.75" customHeight="1">
      <c r="A18" s="3">
        <v>116.0</v>
      </c>
      <c r="B18" s="10" t="s">
        <v>66</v>
      </c>
      <c r="C18" s="10" t="s">
        <v>11</v>
      </c>
      <c r="D18" s="10" t="s">
        <v>14</v>
      </c>
      <c r="E18" s="3">
        <v>6.0</v>
      </c>
      <c r="F18" s="3">
        <v>5.0</v>
      </c>
      <c r="G18" s="3">
        <v>3.0</v>
      </c>
      <c r="H18" s="3">
        <v>-1.0</v>
      </c>
      <c r="I18" s="11">
        <f t="shared" si="1"/>
        <v>11</v>
      </c>
      <c r="J18" s="3">
        <v>60.0</v>
      </c>
      <c r="K18" s="33">
        <v>12.0</v>
      </c>
      <c r="L18" s="33">
        <v>105.0</v>
      </c>
      <c r="M18" s="34">
        <f t="shared" si="2"/>
        <v>9.545454545</v>
      </c>
    </row>
    <row r="19" ht="15.75" customHeight="1">
      <c r="A19" s="3">
        <v>118.0</v>
      </c>
      <c r="B19" s="10" t="s">
        <v>129</v>
      </c>
      <c r="C19" s="10" t="s">
        <v>11</v>
      </c>
      <c r="D19" s="10" t="s">
        <v>14</v>
      </c>
      <c r="E19" s="3">
        <v>5.0</v>
      </c>
      <c r="F19" s="3">
        <v>5.0</v>
      </c>
      <c r="G19" s="3">
        <v>5.0</v>
      </c>
      <c r="H19" s="3">
        <v>1.0</v>
      </c>
      <c r="I19" s="11">
        <f t="shared" si="1"/>
        <v>10</v>
      </c>
      <c r="J19" s="3">
        <v>60.0</v>
      </c>
      <c r="K19" s="33">
        <v>12.0</v>
      </c>
      <c r="L19" s="33">
        <v>60.0</v>
      </c>
      <c r="M19" s="34">
        <f t="shared" si="2"/>
        <v>6</v>
      </c>
    </row>
    <row r="20" ht="15.75" customHeight="1">
      <c r="A20" s="3">
        <v>141.0</v>
      </c>
      <c r="B20" s="10" t="s">
        <v>20</v>
      </c>
      <c r="C20" s="10" t="s">
        <v>11</v>
      </c>
      <c r="D20" s="10" t="s">
        <v>14</v>
      </c>
      <c r="E20" s="3">
        <v>10.0</v>
      </c>
      <c r="F20" s="3">
        <v>9.0</v>
      </c>
      <c r="G20" s="3">
        <v>1.0</v>
      </c>
      <c r="H20" s="3">
        <v>1.0</v>
      </c>
      <c r="I20" s="11">
        <f t="shared" si="1"/>
        <v>19</v>
      </c>
      <c r="J20" s="3">
        <v>120.0</v>
      </c>
      <c r="K20" s="33">
        <v>12.0</v>
      </c>
      <c r="L20" s="33">
        <v>210.0</v>
      </c>
      <c r="M20" s="34">
        <f t="shared" si="2"/>
        <v>11.05263158</v>
      </c>
      <c r="N20" s="34">
        <f>average(M15:M20)</f>
        <v>9.410536832</v>
      </c>
    </row>
    <row r="21" ht="15.75" customHeight="1">
      <c r="A21" s="3">
        <v>45.0</v>
      </c>
      <c r="B21" s="10" t="s">
        <v>55</v>
      </c>
      <c r="C21" s="10" t="s">
        <v>11</v>
      </c>
      <c r="D21" s="10" t="s">
        <v>14</v>
      </c>
      <c r="E21" s="3">
        <v>8.0</v>
      </c>
      <c r="F21" s="3">
        <v>7.0</v>
      </c>
      <c r="G21" s="3">
        <v>3.0</v>
      </c>
      <c r="H21" s="3">
        <v>1.0</v>
      </c>
      <c r="I21" s="11">
        <f t="shared" si="1"/>
        <v>15</v>
      </c>
      <c r="J21" s="3">
        <v>80.0</v>
      </c>
      <c r="K21" s="33">
        <v>13.0</v>
      </c>
      <c r="L21" s="33">
        <v>165.0</v>
      </c>
      <c r="M21" s="34">
        <f t="shared" si="2"/>
        <v>11</v>
      </c>
    </row>
    <row r="22" ht="15.75" customHeight="1">
      <c r="A22" s="3">
        <v>64.0</v>
      </c>
      <c r="B22" s="10" t="s">
        <v>34</v>
      </c>
      <c r="C22" s="10" t="s">
        <v>13</v>
      </c>
      <c r="D22" s="10" t="s">
        <v>14</v>
      </c>
      <c r="E22" s="3">
        <v>8.0</v>
      </c>
      <c r="F22" s="3">
        <v>7.0</v>
      </c>
      <c r="G22" s="3">
        <v>2.0</v>
      </c>
      <c r="H22" s="3">
        <v>1.0</v>
      </c>
      <c r="I22" s="11">
        <f t="shared" si="1"/>
        <v>15</v>
      </c>
      <c r="J22" s="3">
        <v>80.0</v>
      </c>
      <c r="K22" s="33">
        <v>13.0</v>
      </c>
      <c r="L22" s="33">
        <v>175.0</v>
      </c>
      <c r="M22" s="34">
        <f t="shared" si="2"/>
        <v>11.66666667</v>
      </c>
      <c r="N22" s="34">
        <f>average(M21:M22)</f>
        <v>11.33333333</v>
      </c>
    </row>
    <row r="23" ht="15.75" customHeight="1">
      <c r="A23" s="3">
        <v>104.0</v>
      </c>
      <c r="B23" s="10" t="s">
        <v>62</v>
      </c>
      <c r="C23" s="10" t="s">
        <v>13</v>
      </c>
      <c r="D23" s="10" t="s">
        <v>14</v>
      </c>
      <c r="E23" s="3">
        <v>5.0</v>
      </c>
      <c r="F23" s="3">
        <v>5.0</v>
      </c>
      <c r="G23" s="3">
        <v>3.0</v>
      </c>
      <c r="H23" s="3">
        <v>-1.0</v>
      </c>
      <c r="I23" s="11">
        <f t="shared" si="1"/>
        <v>10</v>
      </c>
      <c r="J23" s="3">
        <v>60.0</v>
      </c>
      <c r="K23" s="33">
        <v>14.0</v>
      </c>
      <c r="L23" s="33">
        <v>105.0</v>
      </c>
      <c r="M23" s="34">
        <f t="shared" si="2"/>
        <v>10.5</v>
      </c>
    </row>
    <row r="24" ht="15.75" customHeight="1">
      <c r="A24" s="3">
        <v>28.0</v>
      </c>
      <c r="B24" s="10" t="s">
        <v>147</v>
      </c>
      <c r="C24" s="10" t="s">
        <v>11</v>
      </c>
      <c r="D24" s="10" t="s">
        <v>14</v>
      </c>
      <c r="E24" s="3">
        <v>8.0</v>
      </c>
      <c r="F24" s="3">
        <v>9.0</v>
      </c>
      <c r="G24" s="3">
        <v>6.0</v>
      </c>
      <c r="H24" s="3">
        <v>1.0</v>
      </c>
      <c r="I24" s="11">
        <f t="shared" si="1"/>
        <v>17</v>
      </c>
      <c r="J24" s="3">
        <v>100.0</v>
      </c>
      <c r="K24" s="33">
        <v>16.0</v>
      </c>
      <c r="L24" s="33">
        <v>175.0</v>
      </c>
      <c r="M24" s="34">
        <f t="shared" si="2"/>
        <v>10.29411765</v>
      </c>
    </row>
    <row r="25" ht="15.75" customHeight="1">
      <c r="A25" s="3">
        <v>13.0</v>
      </c>
      <c r="B25" s="10" t="s">
        <v>48</v>
      </c>
      <c r="C25" s="10" t="s">
        <v>13</v>
      </c>
      <c r="D25" s="10" t="s">
        <v>14</v>
      </c>
      <c r="E25" s="3">
        <v>5.0</v>
      </c>
      <c r="F25" s="3">
        <v>6.0</v>
      </c>
      <c r="G25" s="3">
        <v>3.0</v>
      </c>
      <c r="H25" s="3">
        <v>-1.0</v>
      </c>
      <c r="I25" s="11">
        <f t="shared" si="1"/>
        <v>11</v>
      </c>
      <c r="J25" s="3">
        <v>60.0</v>
      </c>
      <c r="K25" s="33">
        <v>18.0</v>
      </c>
      <c r="L25" s="33">
        <v>105.0</v>
      </c>
      <c r="M25" s="34">
        <f t="shared" si="2"/>
        <v>9.545454545</v>
      </c>
    </row>
    <row r="26" ht="15.75" customHeight="1">
      <c r="A26" s="3">
        <v>37.0</v>
      </c>
      <c r="B26" s="10" t="s">
        <v>10</v>
      </c>
      <c r="C26" s="10" t="s">
        <v>11</v>
      </c>
      <c r="D26" s="10" t="s">
        <v>11</v>
      </c>
      <c r="E26" s="3">
        <v>8.0</v>
      </c>
      <c r="F26" s="3">
        <v>8.0</v>
      </c>
      <c r="G26" s="3">
        <v>1.0</v>
      </c>
      <c r="H26" s="3">
        <v>-1.0</v>
      </c>
      <c r="I26" s="11">
        <f t="shared" si="1"/>
        <v>16</v>
      </c>
      <c r="J26" s="3">
        <v>100.0</v>
      </c>
      <c r="K26" s="33">
        <v>18.0</v>
      </c>
      <c r="L26" s="33">
        <v>195.0</v>
      </c>
      <c r="M26" s="34">
        <f t="shared" si="2"/>
        <v>12.1875</v>
      </c>
    </row>
    <row r="27" ht="15.75" customHeight="1">
      <c r="A27" s="3">
        <v>86.0</v>
      </c>
      <c r="B27" s="10" t="s">
        <v>125</v>
      </c>
      <c r="C27" s="10" t="s">
        <v>11</v>
      </c>
      <c r="D27" s="10" t="s">
        <v>14</v>
      </c>
      <c r="E27" s="3">
        <v>8.0</v>
      </c>
      <c r="F27" s="3">
        <v>7.0</v>
      </c>
      <c r="G27" s="3">
        <v>5.0</v>
      </c>
      <c r="H27" s="3">
        <v>1.0</v>
      </c>
      <c r="I27" s="11">
        <f t="shared" si="1"/>
        <v>15</v>
      </c>
      <c r="J27" s="3">
        <v>80.0</v>
      </c>
      <c r="K27" s="33">
        <v>18.0</v>
      </c>
      <c r="L27" s="33">
        <v>150.0</v>
      </c>
      <c r="M27" s="34">
        <f t="shared" si="2"/>
        <v>10</v>
      </c>
    </row>
    <row r="28" ht="15.75" customHeight="1">
      <c r="A28" s="3">
        <v>106.0</v>
      </c>
      <c r="B28" s="10" t="s">
        <v>63</v>
      </c>
      <c r="C28" s="10" t="s">
        <v>13</v>
      </c>
      <c r="D28" s="10" t="s">
        <v>14</v>
      </c>
      <c r="E28" s="3">
        <v>7.0</v>
      </c>
      <c r="F28" s="3">
        <v>5.0</v>
      </c>
      <c r="G28" s="3">
        <v>3.0</v>
      </c>
      <c r="H28" s="3">
        <v>-1.0</v>
      </c>
      <c r="I28" s="11">
        <f t="shared" si="1"/>
        <v>12</v>
      </c>
      <c r="J28" s="3">
        <v>60.0</v>
      </c>
      <c r="K28" s="33">
        <v>18.0</v>
      </c>
      <c r="L28" s="33">
        <v>125.0</v>
      </c>
      <c r="M28" s="34">
        <f t="shared" si="2"/>
        <v>10.41666667</v>
      </c>
      <c r="N28" s="34">
        <f>average(M25:M28)</f>
        <v>10.5374053</v>
      </c>
    </row>
    <row r="29" ht="15.75" customHeight="1">
      <c r="A29" s="3">
        <v>52.0</v>
      </c>
      <c r="B29" s="10" t="s">
        <v>56</v>
      </c>
      <c r="C29" s="10" t="s">
        <v>13</v>
      </c>
      <c r="D29" s="10" t="s">
        <v>14</v>
      </c>
      <c r="E29" s="3">
        <v>4.0</v>
      </c>
      <c r="F29" s="3">
        <v>4.0</v>
      </c>
      <c r="G29" s="3">
        <v>3.0</v>
      </c>
      <c r="H29" s="3">
        <v>-1.0</v>
      </c>
      <c r="I29" s="11">
        <f t="shared" si="1"/>
        <v>8</v>
      </c>
      <c r="J29" s="3">
        <v>40.0</v>
      </c>
      <c r="K29" s="33">
        <v>20.0</v>
      </c>
      <c r="L29" s="33">
        <v>90.0</v>
      </c>
      <c r="M29" s="34">
        <f t="shared" si="2"/>
        <v>11.25</v>
      </c>
    </row>
    <row r="30" ht="15.75" customHeight="1">
      <c r="A30" s="3">
        <v>88.0</v>
      </c>
      <c r="B30" s="10" t="s">
        <v>169</v>
      </c>
      <c r="C30" s="10" t="s">
        <v>11</v>
      </c>
      <c r="D30" s="10" t="s">
        <v>14</v>
      </c>
      <c r="E30" s="3">
        <v>10.0</v>
      </c>
      <c r="F30" s="3">
        <v>8.0</v>
      </c>
      <c r="G30" s="3">
        <v>8.0</v>
      </c>
      <c r="H30" s="3">
        <v>-1.0</v>
      </c>
      <c r="I30" s="11">
        <f t="shared" si="1"/>
        <v>18</v>
      </c>
      <c r="J30" s="3">
        <v>120.0</v>
      </c>
      <c r="K30" s="33">
        <v>20.0</v>
      </c>
      <c r="L30" s="33">
        <v>175.0</v>
      </c>
      <c r="M30" s="34">
        <f t="shared" si="2"/>
        <v>9.722222222</v>
      </c>
    </row>
    <row r="31" ht="15.75" customHeight="1">
      <c r="A31" s="3">
        <v>155.0</v>
      </c>
      <c r="B31" s="10" t="s">
        <v>105</v>
      </c>
      <c r="C31" s="10" t="s">
        <v>11</v>
      </c>
      <c r="D31" s="10" t="s">
        <v>14</v>
      </c>
      <c r="E31" s="3">
        <v>8.0</v>
      </c>
      <c r="F31" s="3">
        <v>8.0</v>
      </c>
      <c r="G31" s="3">
        <v>4.0</v>
      </c>
      <c r="H31" s="3">
        <v>-1.0</v>
      </c>
      <c r="I31" s="11">
        <f t="shared" si="1"/>
        <v>16</v>
      </c>
      <c r="J31" s="3">
        <v>100.0</v>
      </c>
      <c r="K31" s="33">
        <v>20.0</v>
      </c>
      <c r="L31" s="33">
        <v>185.0</v>
      </c>
      <c r="M31" s="34">
        <f t="shared" si="2"/>
        <v>11.5625</v>
      </c>
      <c r="N31" s="34">
        <f>average(M29:M31)</f>
        <v>10.84490741</v>
      </c>
    </row>
    <row r="32" ht="15.75" customHeight="1">
      <c r="A32" s="3"/>
      <c r="B32" s="10"/>
      <c r="C32" s="10"/>
      <c r="D32" s="10"/>
      <c r="E32" s="3"/>
      <c r="F32" s="3"/>
      <c r="G32" s="3"/>
      <c r="H32" s="3"/>
      <c r="I32" s="11"/>
      <c r="J32" s="3"/>
    </row>
    <row r="33" ht="15.75" customHeight="1">
      <c r="A33" s="3"/>
      <c r="B33" s="10"/>
      <c r="C33" s="10"/>
      <c r="D33" s="10"/>
      <c r="E33" s="3"/>
      <c r="F33" s="3"/>
      <c r="G33" s="3"/>
      <c r="H33" s="3"/>
      <c r="I33" s="11"/>
      <c r="J33" s="3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2"/>
      <c r="J34" s="1"/>
    </row>
    <row r="35" ht="15.75" customHeight="1">
      <c r="A35" s="3"/>
      <c r="B35" s="10"/>
      <c r="C35" s="10"/>
      <c r="D35" s="10"/>
      <c r="E35" s="3"/>
      <c r="F35" s="3"/>
      <c r="G35" s="3"/>
      <c r="H35" s="3"/>
      <c r="I35" s="11"/>
      <c r="J35" s="3"/>
    </row>
    <row r="36" ht="15.75" customHeight="1">
      <c r="A36" s="3"/>
      <c r="B36" s="10"/>
      <c r="C36" s="10"/>
      <c r="D36" s="10"/>
      <c r="E36" s="3"/>
      <c r="F36" s="3"/>
      <c r="G36" s="3"/>
      <c r="H36" s="3"/>
      <c r="I36" s="11"/>
      <c r="J36" s="3"/>
    </row>
    <row r="37" ht="15.75" customHeight="1">
      <c r="A37" s="3"/>
      <c r="B37" s="10"/>
      <c r="C37" s="10"/>
      <c r="D37" s="10"/>
      <c r="E37" s="3"/>
      <c r="F37" s="3"/>
      <c r="G37" s="3"/>
      <c r="H37" s="3"/>
      <c r="I37" s="11"/>
      <c r="J37" s="3"/>
    </row>
    <row r="38" ht="15.75" customHeight="1">
      <c r="A38" s="3"/>
      <c r="B38" s="10"/>
      <c r="C38" s="10"/>
      <c r="D38" s="10"/>
      <c r="E38" s="3"/>
      <c r="F38" s="3"/>
      <c r="G38" s="3"/>
      <c r="H38" s="3"/>
      <c r="I38" s="11"/>
      <c r="J38" s="3"/>
    </row>
    <row r="39" ht="15.75" customHeight="1">
      <c r="A39" s="3"/>
      <c r="B39" s="10"/>
      <c r="C39" s="10"/>
      <c r="D39" s="10"/>
      <c r="E39" s="3"/>
      <c r="F39" s="3"/>
      <c r="G39" s="3"/>
      <c r="H39" s="3"/>
      <c r="I39" s="11"/>
      <c r="J39" s="3"/>
    </row>
    <row r="40" ht="15.75" customHeight="1">
      <c r="A40" s="3"/>
      <c r="B40" s="10"/>
      <c r="C40" s="10"/>
      <c r="D40" s="10"/>
      <c r="E40" s="3"/>
      <c r="F40" s="3"/>
      <c r="G40" s="3"/>
      <c r="H40" s="3"/>
      <c r="I40" s="11"/>
      <c r="J40" s="3"/>
    </row>
    <row r="41" ht="15.75" customHeight="1">
      <c r="A41" s="3"/>
      <c r="B41" s="10"/>
      <c r="C41" s="10"/>
      <c r="D41" s="10"/>
      <c r="E41" s="3"/>
      <c r="F41" s="3"/>
      <c r="G41" s="3"/>
      <c r="H41" s="3"/>
      <c r="I41" s="11"/>
      <c r="J41" s="3"/>
    </row>
    <row r="42" ht="15.75" customHeight="1">
      <c r="A42" s="3"/>
      <c r="B42" s="10"/>
      <c r="C42" s="10"/>
      <c r="D42" s="10"/>
      <c r="E42" s="3"/>
      <c r="F42" s="3"/>
      <c r="G42" s="3"/>
      <c r="H42" s="3"/>
      <c r="I42" s="11"/>
      <c r="J42" s="3"/>
    </row>
    <row r="43" ht="15.75" customHeight="1">
      <c r="A43" s="3"/>
      <c r="B43" s="15"/>
      <c r="C43" s="15"/>
      <c r="D43" s="15"/>
      <c r="E43" s="15"/>
      <c r="F43" s="15"/>
      <c r="G43" s="15"/>
      <c r="H43" s="15"/>
      <c r="I43" s="11"/>
      <c r="J43" s="15"/>
    </row>
    <row r="44" ht="15.75" customHeight="1">
      <c r="A44" s="3"/>
      <c r="B44" s="10"/>
      <c r="C44" s="10"/>
      <c r="D44" s="10"/>
      <c r="E44" s="3"/>
      <c r="F44" s="3"/>
      <c r="G44" s="3"/>
      <c r="H44" s="3"/>
      <c r="I44" s="11"/>
      <c r="J44" s="3"/>
    </row>
    <row r="45" ht="15.75" customHeight="1">
      <c r="A45" s="3"/>
      <c r="B45" s="10"/>
      <c r="C45" s="10"/>
      <c r="D45" s="10"/>
      <c r="E45" s="3"/>
      <c r="F45" s="3"/>
      <c r="G45" s="3"/>
      <c r="H45" s="3"/>
      <c r="I45" s="11"/>
      <c r="J45" s="3"/>
    </row>
    <row r="46" ht="15.75" customHeight="1">
      <c r="A46" s="3"/>
      <c r="B46" s="10"/>
      <c r="C46" s="10"/>
      <c r="D46" s="10"/>
      <c r="E46" s="3"/>
      <c r="F46" s="3"/>
      <c r="G46" s="3"/>
      <c r="H46" s="3"/>
      <c r="I46" s="11"/>
      <c r="J46" s="3"/>
    </row>
    <row r="47" ht="15.75" customHeight="1">
      <c r="A47" s="3"/>
      <c r="B47" s="10"/>
      <c r="C47" s="10"/>
      <c r="D47" s="10"/>
      <c r="E47" s="3"/>
      <c r="F47" s="3"/>
      <c r="G47" s="3"/>
      <c r="H47" s="3"/>
      <c r="I47" s="11"/>
      <c r="J47" s="3"/>
    </row>
    <row r="48" ht="15.75" customHeight="1">
      <c r="A48" s="3"/>
      <c r="B48" s="10"/>
      <c r="C48" s="10"/>
      <c r="D48" s="10"/>
      <c r="E48" s="3"/>
      <c r="F48" s="3"/>
      <c r="G48" s="3"/>
      <c r="H48" s="3"/>
      <c r="I48" s="11"/>
      <c r="J48" s="3"/>
    </row>
    <row r="49" ht="15.75" customHeight="1">
      <c r="A49" s="3"/>
      <c r="B49" s="10"/>
      <c r="C49" s="10"/>
      <c r="D49" s="10"/>
      <c r="E49" s="3"/>
      <c r="F49" s="3"/>
      <c r="G49" s="3"/>
      <c r="H49" s="3"/>
      <c r="I49" s="11"/>
      <c r="J49" s="3"/>
    </row>
    <row r="50" ht="15.75" customHeight="1">
      <c r="A50" s="3"/>
      <c r="B50" s="10"/>
      <c r="C50" s="10"/>
      <c r="D50" s="10"/>
      <c r="E50" s="3"/>
      <c r="F50" s="3"/>
      <c r="G50" s="3"/>
      <c r="H50" s="3"/>
      <c r="I50" s="11"/>
      <c r="J50" s="3"/>
    </row>
    <row r="51" ht="15.75" customHeight="1">
      <c r="A51" s="3"/>
      <c r="B51" s="10"/>
      <c r="C51" s="10"/>
      <c r="D51" s="10"/>
      <c r="E51" s="3"/>
      <c r="F51" s="3"/>
      <c r="G51" s="3"/>
      <c r="H51" s="3"/>
      <c r="I51" s="11"/>
      <c r="J51" s="3"/>
    </row>
    <row r="52" ht="15.75" customHeight="1">
      <c r="A52" s="3"/>
      <c r="B52" s="10"/>
      <c r="C52" s="10"/>
      <c r="D52" s="10"/>
      <c r="E52" s="3"/>
      <c r="F52" s="3"/>
      <c r="G52" s="3"/>
      <c r="H52" s="3"/>
      <c r="I52" s="11"/>
      <c r="J52" s="3"/>
    </row>
    <row r="53" ht="15.75" customHeight="1">
      <c r="A53" s="3"/>
      <c r="B53" s="10"/>
      <c r="C53" s="10"/>
      <c r="D53" s="10"/>
      <c r="E53" s="3"/>
      <c r="F53" s="3"/>
      <c r="G53" s="3"/>
      <c r="H53" s="3"/>
      <c r="I53" s="11"/>
      <c r="J53" s="3"/>
    </row>
    <row r="54" ht="15.75" customHeight="1">
      <c r="A54" s="3"/>
      <c r="B54" s="10"/>
      <c r="C54" s="10"/>
      <c r="D54" s="10"/>
      <c r="E54" s="3"/>
      <c r="F54" s="3"/>
      <c r="G54" s="3"/>
      <c r="H54" s="3"/>
      <c r="I54" s="11"/>
      <c r="J54" s="3"/>
    </row>
    <row r="55" ht="15.75" customHeight="1">
      <c r="A55" s="3"/>
      <c r="B55" s="10"/>
      <c r="C55" s="10"/>
      <c r="D55" s="10"/>
      <c r="E55" s="3"/>
      <c r="F55" s="3"/>
      <c r="G55" s="3"/>
      <c r="H55" s="3"/>
      <c r="I55" s="11"/>
      <c r="J55" s="3"/>
    </row>
    <row r="56" ht="15.75" customHeight="1">
      <c r="A56" s="3"/>
      <c r="B56" s="10"/>
      <c r="C56" s="10"/>
      <c r="D56" s="10"/>
      <c r="E56" s="3"/>
      <c r="F56" s="3"/>
      <c r="G56" s="3"/>
      <c r="H56" s="3"/>
      <c r="I56" s="11"/>
      <c r="J56" s="3"/>
    </row>
    <row r="57" ht="15.75" customHeight="1">
      <c r="A57" s="3"/>
      <c r="B57" s="10"/>
      <c r="C57" s="10"/>
      <c r="D57" s="10"/>
      <c r="E57" s="3"/>
      <c r="F57" s="3"/>
      <c r="G57" s="3"/>
      <c r="H57" s="3"/>
      <c r="I57" s="11"/>
      <c r="J57" s="3"/>
    </row>
    <row r="58" ht="15.75" customHeight="1">
      <c r="A58" s="3"/>
      <c r="B58" s="10"/>
      <c r="C58" s="10"/>
      <c r="D58" s="10"/>
      <c r="E58" s="3"/>
      <c r="F58" s="3"/>
      <c r="G58" s="3"/>
      <c r="H58" s="3"/>
      <c r="I58" s="11"/>
      <c r="J58" s="3"/>
    </row>
    <row r="59" ht="15.75" customHeight="1">
      <c r="A59" s="3"/>
      <c r="B59" s="10"/>
      <c r="C59" s="10"/>
      <c r="D59" s="10"/>
      <c r="E59" s="3"/>
      <c r="F59" s="3"/>
      <c r="G59" s="3"/>
      <c r="H59" s="3"/>
      <c r="I59" s="11"/>
      <c r="J59" s="3"/>
    </row>
    <row r="60" ht="15.75" customHeight="1">
      <c r="A60" s="3"/>
      <c r="B60" s="10"/>
      <c r="C60" s="10"/>
      <c r="D60" s="10"/>
      <c r="E60" s="3"/>
      <c r="F60" s="3"/>
      <c r="G60" s="3"/>
      <c r="H60" s="3"/>
      <c r="I60" s="11"/>
      <c r="J60" s="3"/>
    </row>
    <row r="61" ht="15.75" customHeight="1">
      <c r="A61" s="3"/>
      <c r="B61" s="10"/>
      <c r="C61" s="10"/>
      <c r="D61" s="10"/>
      <c r="E61" s="3"/>
      <c r="F61" s="3"/>
      <c r="G61" s="3"/>
      <c r="H61" s="3"/>
      <c r="I61" s="11"/>
      <c r="J61" s="3"/>
    </row>
    <row r="62" ht="15.75" customHeight="1">
      <c r="A62" s="3"/>
      <c r="B62" s="10"/>
      <c r="C62" s="10"/>
      <c r="D62" s="10"/>
      <c r="E62" s="3"/>
      <c r="F62" s="3"/>
      <c r="G62" s="3"/>
      <c r="H62" s="3"/>
      <c r="I62" s="11"/>
      <c r="J62" s="3"/>
    </row>
    <row r="63" ht="15.75" customHeight="1">
      <c r="A63" s="3"/>
      <c r="B63" s="10"/>
      <c r="C63" s="10"/>
      <c r="D63" s="10"/>
      <c r="E63" s="3"/>
      <c r="F63" s="3"/>
      <c r="G63" s="3"/>
      <c r="H63" s="3"/>
      <c r="I63" s="11"/>
      <c r="J63" s="3"/>
    </row>
    <row r="64" ht="15.75" customHeight="1">
      <c r="A64" s="3"/>
      <c r="B64" s="10"/>
      <c r="C64" s="10"/>
      <c r="D64" s="10"/>
      <c r="E64" s="3"/>
      <c r="F64" s="3"/>
      <c r="G64" s="3"/>
      <c r="H64" s="3"/>
      <c r="I64" s="11"/>
      <c r="J64" s="3"/>
    </row>
    <row r="65" ht="15.75" customHeight="1">
      <c r="A65" s="3"/>
      <c r="B65" s="10"/>
      <c r="C65" s="10"/>
      <c r="D65" s="10"/>
      <c r="E65" s="3"/>
      <c r="F65" s="3"/>
      <c r="G65" s="3"/>
      <c r="H65" s="3"/>
      <c r="I65" s="11"/>
      <c r="J65" s="3"/>
    </row>
    <row r="66" ht="15.75" customHeight="1">
      <c r="A66" s="3"/>
      <c r="B66" s="10"/>
      <c r="C66" s="10"/>
      <c r="D66" s="10"/>
      <c r="E66" s="3"/>
      <c r="F66" s="3"/>
      <c r="G66" s="3"/>
      <c r="H66" s="3"/>
      <c r="I66" s="11"/>
      <c r="J66" s="3"/>
    </row>
    <row r="67" ht="15.75" customHeight="1">
      <c r="A67" s="3"/>
      <c r="B67" s="10"/>
      <c r="C67" s="10"/>
      <c r="D67" s="10"/>
      <c r="E67" s="3"/>
      <c r="F67" s="3"/>
      <c r="G67" s="3"/>
      <c r="H67" s="3"/>
      <c r="I67" s="11"/>
      <c r="J67" s="3"/>
    </row>
    <row r="68" ht="15.75" customHeight="1">
      <c r="A68" s="3"/>
      <c r="B68" s="10"/>
      <c r="C68" s="10"/>
      <c r="D68" s="10"/>
      <c r="E68" s="3"/>
      <c r="F68" s="3"/>
      <c r="G68" s="3"/>
      <c r="H68" s="3"/>
      <c r="I68" s="11"/>
      <c r="J68" s="3"/>
    </row>
    <row r="69" ht="15.75" customHeight="1">
      <c r="A69" s="3"/>
      <c r="B69" s="15"/>
      <c r="C69" s="15"/>
      <c r="D69" s="15"/>
      <c r="E69" s="15"/>
      <c r="F69" s="15"/>
      <c r="G69" s="15"/>
      <c r="H69" s="15"/>
      <c r="I69" s="11"/>
      <c r="J69" s="15"/>
    </row>
    <row r="70" ht="15.75" customHeight="1">
      <c r="A70" s="3"/>
      <c r="B70" s="10"/>
      <c r="C70" s="10"/>
      <c r="D70" s="10"/>
      <c r="E70" s="3"/>
      <c r="F70" s="3"/>
      <c r="G70" s="3"/>
      <c r="H70" s="3"/>
      <c r="I70" s="11"/>
      <c r="J70" s="3"/>
    </row>
    <row r="71" ht="15.75" customHeight="1">
      <c r="A71" s="3"/>
      <c r="B71" s="10"/>
      <c r="C71" s="10"/>
      <c r="D71" s="10"/>
      <c r="E71" s="3"/>
      <c r="F71" s="3"/>
      <c r="G71" s="3"/>
      <c r="H71" s="3"/>
      <c r="I71" s="11"/>
      <c r="J71" s="3"/>
    </row>
    <row r="72" ht="15.75" customHeight="1">
      <c r="A72" s="3"/>
      <c r="B72" s="10"/>
      <c r="C72" s="10"/>
      <c r="D72" s="10"/>
      <c r="E72" s="3"/>
      <c r="F72" s="3"/>
      <c r="G72" s="3"/>
      <c r="H72" s="3"/>
      <c r="I72" s="11"/>
      <c r="J72" s="3"/>
    </row>
    <row r="73" ht="15.75" customHeight="1">
      <c r="A73" s="3"/>
      <c r="B73" s="10"/>
      <c r="C73" s="10"/>
      <c r="D73" s="10"/>
      <c r="E73" s="3"/>
      <c r="F73" s="3"/>
      <c r="G73" s="3"/>
      <c r="H73" s="3"/>
      <c r="I73" s="11"/>
      <c r="J73" s="3"/>
    </row>
    <row r="74" ht="15.75" customHeight="1">
      <c r="A74" s="3"/>
      <c r="B74" s="10"/>
      <c r="C74" s="10"/>
      <c r="D74" s="10"/>
      <c r="E74" s="3"/>
      <c r="F74" s="3"/>
      <c r="G74" s="3"/>
      <c r="H74" s="3"/>
      <c r="I74" s="11"/>
      <c r="J74" s="3"/>
    </row>
    <row r="75" ht="15.75" customHeight="1">
      <c r="A75" s="3"/>
      <c r="B75" s="10"/>
      <c r="C75" s="10"/>
      <c r="D75" s="10"/>
      <c r="E75" s="3"/>
      <c r="F75" s="3"/>
      <c r="G75" s="3"/>
      <c r="H75" s="3"/>
      <c r="I75" s="11"/>
      <c r="J75" s="3"/>
    </row>
    <row r="76" ht="15.75" customHeight="1">
      <c r="A76" s="3"/>
      <c r="B76" s="10"/>
      <c r="C76" s="10"/>
      <c r="D76" s="10"/>
      <c r="E76" s="3"/>
      <c r="F76" s="3"/>
      <c r="G76" s="3"/>
      <c r="H76" s="3"/>
      <c r="I76" s="11"/>
      <c r="J76" s="3"/>
    </row>
    <row r="77" ht="15.75" customHeight="1">
      <c r="A77" s="3"/>
      <c r="B77" s="10"/>
      <c r="C77" s="10"/>
      <c r="D77" s="10"/>
      <c r="E77" s="3"/>
      <c r="F77" s="3"/>
      <c r="G77" s="3"/>
      <c r="H77" s="3"/>
      <c r="I77" s="11"/>
      <c r="J77" s="3"/>
    </row>
    <row r="78" ht="15.75" customHeight="1">
      <c r="A78" s="3"/>
      <c r="B78" s="10"/>
      <c r="C78" s="10"/>
      <c r="D78" s="10"/>
      <c r="E78" s="3"/>
      <c r="F78" s="3"/>
      <c r="G78" s="3"/>
      <c r="H78" s="3"/>
      <c r="I78" s="11"/>
      <c r="J78" s="3"/>
    </row>
    <row r="79" ht="15.75" customHeight="1">
      <c r="A79" s="3"/>
      <c r="B79" s="10"/>
      <c r="C79" s="10"/>
      <c r="D79" s="10"/>
      <c r="E79" s="3"/>
      <c r="F79" s="3"/>
      <c r="G79" s="3"/>
      <c r="H79" s="3"/>
      <c r="I79" s="11"/>
      <c r="J79" s="3"/>
    </row>
    <row r="80" ht="15.75" customHeight="1">
      <c r="A80" s="3"/>
      <c r="B80" s="10"/>
      <c r="C80" s="10"/>
      <c r="D80" s="10"/>
      <c r="E80" s="3"/>
      <c r="F80" s="3"/>
      <c r="G80" s="3"/>
      <c r="H80" s="3"/>
      <c r="I80" s="11"/>
      <c r="J80" s="3"/>
    </row>
    <row r="81" ht="15.75" customHeight="1">
      <c r="A81" s="3"/>
      <c r="B81" s="10"/>
      <c r="C81" s="10"/>
      <c r="D81" s="10"/>
      <c r="E81" s="3"/>
      <c r="F81" s="3"/>
      <c r="G81" s="3"/>
      <c r="H81" s="3"/>
      <c r="I81" s="11"/>
      <c r="J81" s="3"/>
    </row>
    <row r="82" ht="15.75" customHeight="1">
      <c r="A82" s="3"/>
      <c r="B82" s="10"/>
      <c r="C82" s="10"/>
      <c r="D82" s="10"/>
      <c r="E82" s="3"/>
      <c r="F82" s="3"/>
      <c r="G82" s="3"/>
      <c r="H82" s="3"/>
      <c r="I82" s="11"/>
      <c r="J82" s="3"/>
    </row>
    <row r="83" ht="15.75" customHeight="1">
      <c r="A83" s="3"/>
      <c r="B83" s="10"/>
      <c r="C83" s="10"/>
      <c r="D83" s="10"/>
      <c r="E83" s="3"/>
      <c r="F83" s="3"/>
      <c r="G83" s="3"/>
      <c r="H83" s="3"/>
      <c r="I83" s="11"/>
      <c r="J83" s="3"/>
    </row>
    <row r="84" ht="15.75" customHeight="1">
      <c r="A84" s="3"/>
      <c r="B84" s="10"/>
      <c r="C84" s="10"/>
      <c r="D84" s="10"/>
      <c r="E84" s="3"/>
      <c r="F84" s="3"/>
      <c r="G84" s="3"/>
      <c r="H84" s="3"/>
      <c r="I84" s="11"/>
      <c r="J84" s="3"/>
    </row>
    <row r="85" ht="15.75" customHeight="1">
      <c r="A85" s="3"/>
      <c r="B85" s="10"/>
      <c r="C85" s="10"/>
      <c r="D85" s="10"/>
      <c r="E85" s="3"/>
      <c r="F85" s="3"/>
      <c r="G85" s="3"/>
      <c r="H85" s="3"/>
      <c r="I85" s="11"/>
      <c r="J85" s="3"/>
    </row>
    <row r="86" ht="15.75" customHeight="1">
      <c r="A86" s="3"/>
      <c r="B86" s="10"/>
      <c r="C86" s="10"/>
      <c r="D86" s="10"/>
      <c r="E86" s="3"/>
      <c r="F86" s="3"/>
      <c r="G86" s="3"/>
      <c r="H86" s="3"/>
      <c r="I86" s="11"/>
      <c r="J86" s="3"/>
    </row>
    <row r="87" ht="15.75" customHeight="1">
      <c r="A87" s="3"/>
      <c r="B87" s="10"/>
      <c r="C87" s="10"/>
      <c r="D87" s="10"/>
      <c r="E87" s="3"/>
      <c r="F87" s="3"/>
      <c r="G87" s="3"/>
      <c r="H87" s="3"/>
      <c r="I87" s="11"/>
      <c r="J87" s="3"/>
    </row>
    <row r="88" ht="15.75" customHeight="1">
      <c r="A88" s="3"/>
      <c r="B88" s="10"/>
      <c r="C88" s="10"/>
      <c r="D88" s="10"/>
      <c r="E88" s="3"/>
      <c r="F88" s="3"/>
      <c r="G88" s="3"/>
      <c r="H88" s="3"/>
      <c r="I88" s="11"/>
      <c r="J88" s="3"/>
    </row>
    <row r="89" ht="15.75" customHeight="1">
      <c r="A89" s="3"/>
      <c r="B89" s="10"/>
      <c r="C89" s="10"/>
      <c r="D89" s="10"/>
      <c r="E89" s="3"/>
      <c r="F89" s="3"/>
      <c r="G89" s="3"/>
      <c r="H89" s="3"/>
      <c r="I89" s="11"/>
      <c r="J89" s="3"/>
    </row>
    <row r="90" ht="15.75" customHeight="1">
      <c r="A90" s="3"/>
      <c r="B90" s="10"/>
      <c r="C90" s="10"/>
      <c r="D90" s="10"/>
      <c r="E90" s="3"/>
      <c r="F90" s="3"/>
      <c r="G90" s="3"/>
      <c r="H90" s="3"/>
      <c r="I90" s="11"/>
      <c r="J90" s="3"/>
    </row>
    <row r="91" ht="15.75" customHeight="1">
      <c r="A91" s="3"/>
      <c r="B91" s="10"/>
      <c r="C91" s="10"/>
      <c r="D91" s="10"/>
      <c r="E91" s="3"/>
      <c r="F91" s="3"/>
      <c r="G91" s="3"/>
      <c r="H91" s="3"/>
      <c r="I91" s="11"/>
      <c r="J91" s="3"/>
    </row>
    <row r="92" ht="15.75" customHeight="1">
      <c r="A92" s="3"/>
      <c r="B92" s="10"/>
      <c r="C92" s="10"/>
      <c r="D92" s="10"/>
      <c r="E92" s="3"/>
      <c r="F92" s="3"/>
      <c r="G92" s="3"/>
      <c r="H92" s="3"/>
      <c r="I92" s="11"/>
      <c r="J92" s="3"/>
    </row>
    <row r="93" ht="15.75" customHeight="1">
      <c r="A93" s="3"/>
      <c r="B93" s="10"/>
      <c r="C93" s="10"/>
      <c r="D93" s="10"/>
      <c r="E93" s="3"/>
      <c r="F93" s="3"/>
      <c r="G93" s="3"/>
      <c r="H93" s="3"/>
      <c r="I93" s="11"/>
      <c r="J93" s="3"/>
    </row>
    <row r="94" ht="15.75" customHeight="1">
      <c r="A94" s="3"/>
      <c r="B94" s="10"/>
      <c r="C94" s="10"/>
      <c r="D94" s="10"/>
      <c r="E94" s="3"/>
      <c r="F94" s="3"/>
      <c r="G94" s="3"/>
      <c r="H94" s="3"/>
      <c r="I94" s="11"/>
      <c r="J94" s="3"/>
    </row>
    <row r="95" ht="15.75" customHeight="1">
      <c r="A95" s="3"/>
      <c r="B95" s="10"/>
      <c r="C95" s="10"/>
      <c r="D95" s="10"/>
      <c r="E95" s="3"/>
      <c r="F95" s="3"/>
      <c r="G95" s="3"/>
      <c r="H95" s="3"/>
      <c r="I95" s="11"/>
      <c r="J95" s="3"/>
    </row>
    <row r="96" ht="15.75" customHeight="1">
      <c r="A96" s="3"/>
      <c r="B96" s="10"/>
      <c r="C96" s="10"/>
      <c r="D96" s="10"/>
      <c r="E96" s="3"/>
      <c r="F96" s="3"/>
      <c r="G96" s="3"/>
      <c r="H96" s="3"/>
      <c r="I96" s="11"/>
      <c r="J96" s="3"/>
    </row>
    <row r="97" ht="15.75" customHeight="1">
      <c r="A97" s="3"/>
      <c r="B97" s="10"/>
      <c r="C97" s="10"/>
      <c r="D97" s="10"/>
      <c r="E97" s="3"/>
      <c r="F97" s="3"/>
      <c r="G97" s="3"/>
      <c r="H97" s="3"/>
      <c r="I97" s="11"/>
      <c r="J97" s="3"/>
    </row>
    <row r="98" ht="15.75" customHeight="1">
      <c r="A98" s="3"/>
      <c r="B98" s="10"/>
      <c r="C98" s="10"/>
      <c r="D98" s="10"/>
      <c r="E98" s="3"/>
      <c r="F98" s="3"/>
      <c r="G98" s="3"/>
      <c r="H98" s="3"/>
      <c r="I98" s="11"/>
      <c r="J98" s="3"/>
    </row>
    <row r="99" ht="15.75" customHeight="1">
      <c r="A99" s="3"/>
      <c r="B99" s="10"/>
      <c r="C99" s="10"/>
      <c r="D99" s="10"/>
      <c r="E99" s="3"/>
      <c r="F99" s="3"/>
      <c r="G99" s="3"/>
      <c r="H99" s="3"/>
      <c r="I99" s="11"/>
      <c r="J99" s="3"/>
    </row>
    <row r="100" ht="15.75" customHeight="1">
      <c r="A100" s="3"/>
      <c r="B100" s="10"/>
      <c r="C100" s="10"/>
      <c r="D100" s="10"/>
      <c r="E100" s="3"/>
      <c r="F100" s="3"/>
      <c r="G100" s="3"/>
      <c r="H100" s="3"/>
      <c r="I100" s="11"/>
      <c r="J100" s="3"/>
    </row>
    <row r="101" ht="15.75" customHeight="1">
      <c r="A101" s="3"/>
      <c r="B101" s="10"/>
      <c r="C101" s="10"/>
      <c r="D101" s="10"/>
      <c r="E101" s="3"/>
      <c r="F101" s="3"/>
      <c r="G101" s="3"/>
      <c r="H101" s="3"/>
      <c r="I101" s="11"/>
      <c r="J101" s="3"/>
    </row>
    <row r="102" ht="15.75" customHeight="1">
      <c r="A102" s="3"/>
      <c r="B102" s="10"/>
      <c r="C102" s="10"/>
      <c r="D102" s="10"/>
      <c r="E102" s="3"/>
      <c r="F102" s="3"/>
      <c r="G102" s="3"/>
      <c r="H102" s="3"/>
      <c r="I102" s="11"/>
      <c r="J102" s="3"/>
    </row>
    <row r="103" ht="15.75" customHeight="1">
      <c r="A103" s="3"/>
      <c r="B103" s="10"/>
      <c r="C103" s="10"/>
      <c r="D103" s="10"/>
      <c r="E103" s="3"/>
      <c r="F103" s="3"/>
      <c r="G103" s="3"/>
      <c r="H103" s="3"/>
      <c r="I103" s="11"/>
      <c r="J103" s="3"/>
    </row>
    <row r="104" ht="15.75" customHeight="1">
      <c r="A104" s="3"/>
      <c r="B104" s="10"/>
      <c r="C104" s="10"/>
      <c r="D104" s="10"/>
      <c r="E104" s="3"/>
      <c r="F104" s="3"/>
      <c r="G104" s="3"/>
      <c r="H104" s="3"/>
      <c r="I104" s="11"/>
      <c r="J104" s="3"/>
    </row>
    <row r="105" ht="15.75" customHeight="1">
      <c r="A105" s="3"/>
      <c r="B105" s="10"/>
      <c r="C105" s="10"/>
      <c r="D105" s="10"/>
      <c r="E105" s="3"/>
      <c r="F105" s="3"/>
      <c r="G105" s="3"/>
      <c r="H105" s="3"/>
      <c r="I105" s="11"/>
      <c r="J105" s="3"/>
    </row>
    <row r="106" ht="15.75" customHeight="1">
      <c r="A106" s="3"/>
      <c r="B106" s="16"/>
      <c r="C106" s="15"/>
      <c r="D106" s="15"/>
      <c r="E106" s="15"/>
      <c r="F106" s="15"/>
      <c r="G106" s="15"/>
      <c r="H106" s="15"/>
      <c r="I106" s="11"/>
      <c r="J106" s="15"/>
    </row>
    <row r="107" ht="15.75" customHeight="1">
      <c r="A107" s="3"/>
      <c r="B107" s="10"/>
      <c r="C107" s="10"/>
      <c r="D107" s="10"/>
      <c r="E107" s="3"/>
      <c r="F107" s="3"/>
      <c r="G107" s="3"/>
      <c r="H107" s="3"/>
      <c r="I107" s="11"/>
      <c r="J107" s="3"/>
    </row>
    <row r="108" ht="15.75" customHeight="1">
      <c r="A108" s="3"/>
      <c r="B108" s="10"/>
      <c r="C108" s="10"/>
      <c r="D108" s="10"/>
      <c r="E108" s="3"/>
      <c r="F108" s="3"/>
      <c r="G108" s="3"/>
      <c r="H108" s="3"/>
      <c r="I108" s="11"/>
      <c r="J108" s="3"/>
    </row>
    <row r="109" ht="15.75" customHeight="1">
      <c r="A109" s="3"/>
      <c r="B109" s="10"/>
      <c r="C109" s="10"/>
      <c r="D109" s="10"/>
      <c r="E109" s="3"/>
      <c r="F109" s="3"/>
      <c r="G109" s="3"/>
      <c r="H109" s="3"/>
      <c r="I109" s="11"/>
      <c r="J109" s="3"/>
    </row>
    <row r="110" ht="15.75" customHeight="1">
      <c r="A110" s="3"/>
      <c r="B110" s="10"/>
      <c r="C110" s="10"/>
      <c r="D110" s="10"/>
      <c r="E110" s="3"/>
      <c r="F110" s="3"/>
      <c r="G110" s="3"/>
      <c r="H110" s="3"/>
      <c r="I110" s="11"/>
      <c r="J110" s="3"/>
    </row>
    <row r="111" ht="15.75" customHeight="1">
      <c r="A111" s="3"/>
      <c r="B111" s="10"/>
      <c r="C111" s="10"/>
      <c r="D111" s="10"/>
      <c r="E111" s="3"/>
      <c r="F111" s="3"/>
      <c r="G111" s="3"/>
      <c r="H111" s="3"/>
      <c r="I111" s="11"/>
      <c r="J111" s="3"/>
    </row>
    <row r="112" ht="15.75" customHeight="1">
      <c r="A112" s="3"/>
      <c r="B112" s="10"/>
      <c r="C112" s="10"/>
      <c r="D112" s="10"/>
      <c r="E112" s="3"/>
      <c r="F112" s="3"/>
      <c r="G112" s="3"/>
      <c r="H112" s="3"/>
      <c r="I112" s="11"/>
      <c r="J112" s="3"/>
    </row>
    <row r="113" ht="15.75" customHeight="1">
      <c r="A113" s="3"/>
      <c r="B113" s="10"/>
      <c r="C113" s="10"/>
      <c r="D113" s="10"/>
      <c r="E113" s="3"/>
      <c r="F113" s="3"/>
      <c r="G113" s="3"/>
      <c r="H113" s="3"/>
      <c r="I113" s="11"/>
      <c r="J113" s="3"/>
    </row>
    <row r="114" ht="15.75" customHeight="1">
      <c r="A114" s="3"/>
      <c r="B114" s="10"/>
      <c r="C114" s="10"/>
      <c r="D114" s="10"/>
      <c r="E114" s="3"/>
      <c r="F114" s="3"/>
      <c r="G114" s="3"/>
      <c r="H114" s="3"/>
      <c r="I114" s="11"/>
      <c r="J114" s="3"/>
    </row>
    <row r="115" ht="15.75" customHeight="1">
      <c r="A115" s="3"/>
      <c r="B115" s="10"/>
      <c r="C115" s="10"/>
      <c r="D115" s="10"/>
      <c r="E115" s="3"/>
      <c r="F115" s="3"/>
      <c r="G115" s="3"/>
      <c r="H115" s="3"/>
      <c r="I115" s="11"/>
      <c r="J115" s="3"/>
    </row>
    <row r="116" ht="15.75" customHeight="1">
      <c r="A116" s="3"/>
      <c r="B116" s="10"/>
      <c r="C116" s="10"/>
      <c r="D116" s="10"/>
      <c r="E116" s="3"/>
      <c r="F116" s="3"/>
      <c r="G116" s="3"/>
      <c r="H116" s="3"/>
      <c r="I116" s="11"/>
      <c r="J116" s="3"/>
    </row>
    <row r="117" ht="15.75" customHeight="1">
      <c r="A117" s="3"/>
      <c r="B117" s="10"/>
      <c r="C117" s="10"/>
      <c r="D117" s="10"/>
      <c r="E117" s="3"/>
      <c r="F117" s="3"/>
      <c r="G117" s="3"/>
      <c r="H117" s="3"/>
      <c r="I117" s="11"/>
      <c r="J117" s="3"/>
    </row>
    <row r="118" ht="15.75" customHeight="1">
      <c r="A118" s="3"/>
      <c r="B118" s="10"/>
      <c r="C118" s="10"/>
      <c r="D118" s="10"/>
      <c r="E118" s="3"/>
      <c r="F118" s="3"/>
      <c r="G118" s="3"/>
      <c r="H118" s="3"/>
      <c r="I118" s="11"/>
      <c r="J118" s="3"/>
    </row>
    <row r="119" ht="15.75" customHeight="1">
      <c r="A119" s="3"/>
      <c r="B119" s="10"/>
      <c r="C119" s="10"/>
      <c r="D119" s="10"/>
      <c r="E119" s="3"/>
      <c r="F119" s="3"/>
      <c r="G119" s="3"/>
      <c r="H119" s="3"/>
      <c r="I119" s="11"/>
      <c r="J119" s="3"/>
    </row>
    <row r="120" ht="15.75" customHeight="1">
      <c r="A120" s="3"/>
      <c r="B120" s="10"/>
      <c r="C120" s="10"/>
      <c r="D120" s="10"/>
      <c r="E120" s="3"/>
      <c r="F120" s="3"/>
      <c r="G120" s="3"/>
      <c r="H120" s="3"/>
      <c r="I120" s="11"/>
      <c r="J120" s="3"/>
    </row>
    <row r="121" ht="15.75" customHeight="1">
      <c r="A121" s="3"/>
      <c r="B121" s="10"/>
      <c r="C121" s="10"/>
      <c r="D121" s="10"/>
      <c r="E121" s="3"/>
      <c r="F121" s="3"/>
      <c r="G121" s="3"/>
      <c r="H121" s="3"/>
      <c r="I121" s="11"/>
      <c r="J121" s="3"/>
    </row>
    <row r="122" ht="15.75" customHeight="1">
      <c r="A122" s="3"/>
      <c r="B122" s="10"/>
      <c r="C122" s="10"/>
      <c r="D122" s="10"/>
      <c r="E122" s="3"/>
      <c r="F122" s="3"/>
      <c r="G122" s="3"/>
      <c r="H122" s="3"/>
      <c r="I122" s="11"/>
      <c r="J122" s="3"/>
    </row>
    <row r="123" ht="15.75" customHeight="1">
      <c r="A123" s="3"/>
      <c r="B123" s="10"/>
      <c r="C123" s="10"/>
      <c r="D123" s="10"/>
      <c r="E123" s="3"/>
      <c r="F123" s="3"/>
      <c r="G123" s="3"/>
      <c r="H123" s="3"/>
      <c r="I123" s="11"/>
      <c r="J123" s="3"/>
    </row>
    <row r="124" ht="15.75" customHeight="1">
      <c r="A124" s="3"/>
      <c r="B124" s="10"/>
      <c r="C124" s="10"/>
      <c r="D124" s="10"/>
      <c r="E124" s="3"/>
      <c r="F124" s="3"/>
      <c r="G124" s="3"/>
      <c r="H124" s="3"/>
      <c r="I124" s="11"/>
      <c r="J124" s="3"/>
    </row>
    <row r="125" ht="15.75" customHeight="1">
      <c r="A125" s="3"/>
      <c r="B125" s="10"/>
      <c r="C125" s="10"/>
      <c r="D125" s="10"/>
      <c r="E125" s="3"/>
      <c r="F125" s="3"/>
      <c r="G125" s="3"/>
      <c r="H125" s="3"/>
      <c r="I125" s="11"/>
      <c r="J125" s="3"/>
    </row>
    <row r="126" ht="15.75" customHeight="1">
      <c r="A126" s="3"/>
      <c r="B126" s="10"/>
      <c r="C126" s="10"/>
      <c r="D126" s="10"/>
      <c r="E126" s="3"/>
      <c r="F126" s="3"/>
      <c r="G126" s="3"/>
      <c r="H126" s="3"/>
      <c r="I126" s="11"/>
      <c r="J126" s="3"/>
    </row>
    <row r="127" ht="15.75" customHeight="1">
      <c r="A127" s="3"/>
      <c r="B127" s="10"/>
      <c r="C127" s="10"/>
      <c r="D127" s="10"/>
      <c r="E127" s="3"/>
      <c r="F127" s="3"/>
      <c r="G127" s="3"/>
      <c r="H127" s="3"/>
      <c r="I127" s="11"/>
      <c r="J127" s="3"/>
    </row>
    <row r="128" ht="15.75" customHeight="1">
      <c r="A128" s="3"/>
      <c r="B128" s="10"/>
      <c r="C128" s="10"/>
      <c r="D128" s="10"/>
      <c r="E128" s="3"/>
      <c r="F128" s="3"/>
      <c r="G128" s="3"/>
      <c r="H128" s="3"/>
      <c r="I128" s="11"/>
      <c r="J128" s="3"/>
    </row>
    <row r="129" ht="15.75" customHeight="1">
      <c r="A129" s="3"/>
      <c r="B129" s="10"/>
      <c r="C129" s="10"/>
      <c r="D129" s="10"/>
      <c r="E129" s="3"/>
      <c r="F129" s="3"/>
      <c r="G129" s="3"/>
      <c r="H129" s="3"/>
      <c r="I129" s="11"/>
      <c r="J129" s="3"/>
    </row>
    <row r="130" ht="15.75" customHeight="1">
      <c r="A130" s="3"/>
      <c r="B130" s="10"/>
      <c r="C130" s="10"/>
      <c r="D130" s="10"/>
      <c r="E130" s="3"/>
      <c r="F130" s="3"/>
      <c r="G130" s="3"/>
      <c r="H130" s="3"/>
      <c r="I130" s="11"/>
      <c r="J130" s="3"/>
    </row>
    <row r="131" ht="15.75" customHeight="1">
      <c r="A131" s="3"/>
      <c r="B131" s="10"/>
      <c r="C131" s="10"/>
      <c r="D131" s="10"/>
      <c r="E131" s="3"/>
      <c r="F131" s="3"/>
      <c r="G131" s="3"/>
      <c r="H131" s="3"/>
      <c r="I131" s="11"/>
      <c r="J131" s="3"/>
    </row>
    <row r="132" ht="17.25" customHeight="1">
      <c r="A132" s="3"/>
      <c r="B132" s="10"/>
      <c r="C132" s="10"/>
      <c r="D132" s="10"/>
      <c r="E132" s="3"/>
      <c r="F132" s="3"/>
      <c r="G132" s="3"/>
      <c r="H132" s="3"/>
      <c r="I132" s="11"/>
      <c r="J132" s="3"/>
    </row>
    <row r="133" ht="15.75" customHeight="1">
      <c r="A133" s="3"/>
      <c r="B133" s="10"/>
      <c r="C133" s="10"/>
      <c r="D133" s="10"/>
      <c r="E133" s="3"/>
      <c r="F133" s="3"/>
      <c r="G133" s="3"/>
      <c r="H133" s="3"/>
      <c r="I133" s="11"/>
      <c r="J133" s="3"/>
    </row>
    <row r="134" ht="15.75" customHeight="1">
      <c r="A134" s="3"/>
      <c r="B134" s="10"/>
      <c r="C134" s="10"/>
      <c r="D134" s="10"/>
      <c r="E134" s="3"/>
      <c r="F134" s="3"/>
      <c r="G134" s="3"/>
      <c r="H134" s="3"/>
      <c r="I134" s="11"/>
      <c r="J134" s="3"/>
    </row>
    <row r="135" ht="15.75" customHeight="1">
      <c r="A135" s="3"/>
      <c r="B135" s="10"/>
      <c r="C135" s="10"/>
      <c r="D135" s="10"/>
      <c r="E135" s="3"/>
      <c r="F135" s="3"/>
      <c r="G135" s="3"/>
      <c r="H135" s="3"/>
      <c r="I135" s="11"/>
      <c r="J135" s="3"/>
    </row>
    <row r="136" ht="15.75" customHeight="1">
      <c r="A136" s="3"/>
      <c r="B136" s="10"/>
      <c r="C136" s="10"/>
      <c r="D136" s="10"/>
      <c r="E136" s="3"/>
      <c r="F136" s="3"/>
      <c r="G136" s="3"/>
      <c r="H136" s="3"/>
      <c r="I136" s="11"/>
      <c r="J136" s="3"/>
    </row>
    <row r="137" ht="15.75" customHeight="1">
      <c r="A137" s="3"/>
      <c r="B137" s="10"/>
      <c r="C137" s="10"/>
      <c r="D137" s="10"/>
      <c r="E137" s="3"/>
      <c r="F137" s="3"/>
      <c r="G137" s="3"/>
      <c r="H137" s="3"/>
      <c r="I137" s="11"/>
      <c r="J137" s="3"/>
    </row>
    <row r="138" ht="15.75" customHeight="1">
      <c r="A138" s="3"/>
      <c r="B138" s="10"/>
      <c r="C138" s="10"/>
      <c r="D138" s="10"/>
      <c r="E138" s="3"/>
      <c r="F138" s="3"/>
      <c r="G138" s="3"/>
      <c r="H138" s="3"/>
      <c r="I138" s="11"/>
      <c r="J138" s="3"/>
    </row>
    <row r="139" ht="15.75" customHeight="1">
      <c r="A139" s="3"/>
      <c r="B139" s="10"/>
      <c r="C139" s="10"/>
      <c r="D139" s="10"/>
      <c r="E139" s="3"/>
      <c r="F139" s="3"/>
      <c r="G139" s="3"/>
      <c r="H139" s="3"/>
      <c r="I139" s="11"/>
      <c r="J139" s="3"/>
    </row>
    <row r="140" ht="15.75" customHeight="1">
      <c r="A140" s="3"/>
      <c r="B140" s="10"/>
      <c r="C140" s="10"/>
      <c r="D140" s="10"/>
      <c r="E140" s="3"/>
      <c r="F140" s="3"/>
      <c r="G140" s="3"/>
      <c r="H140" s="3"/>
      <c r="I140" s="11"/>
      <c r="J140" s="3"/>
    </row>
    <row r="141" ht="15.75" customHeight="1">
      <c r="A141" s="3"/>
      <c r="B141" s="10"/>
      <c r="C141" s="10"/>
      <c r="D141" s="10"/>
      <c r="E141" s="3"/>
      <c r="F141" s="3"/>
      <c r="G141" s="3"/>
      <c r="H141" s="3"/>
      <c r="I141" s="11"/>
      <c r="J141" s="3"/>
    </row>
    <row r="142" ht="15.75" customHeight="1">
      <c r="A142" s="3"/>
      <c r="B142" s="10"/>
      <c r="C142" s="10"/>
      <c r="D142" s="10"/>
      <c r="E142" s="3"/>
      <c r="F142" s="3"/>
      <c r="G142" s="3"/>
      <c r="H142" s="3"/>
      <c r="I142" s="11"/>
      <c r="J142" s="3"/>
    </row>
    <row r="143" ht="15.75" customHeight="1">
      <c r="A143" s="3"/>
      <c r="B143" s="10"/>
      <c r="C143" s="10"/>
      <c r="D143" s="10"/>
      <c r="E143" s="3"/>
      <c r="F143" s="3"/>
      <c r="G143" s="3"/>
      <c r="H143" s="3"/>
      <c r="I143" s="11"/>
      <c r="J143" s="3"/>
    </row>
    <row r="144" ht="15.75" customHeight="1">
      <c r="A144" s="3"/>
      <c r="B144" s="10"/>
      <c r="C144" s="10"/>
      <c r="D144" s="10"/>
      <c r="E144" s="3"/>
      <c r="F144" s="3"/>
      <c r="G144" s="3"/>
      <c r="H144" s="3"/>
      <c r="I144" s="11"/>
      <c r="J144" s="3"/>
    </row>
    <row r="145" ht="15.75" customHeight="1">
      <c r="A145" s="3"/>
      <c r="B145" s="10"/>
      <c r="C145" s="10"/>
      <c r="D145" s="10"/>
      <c r="E145" s="3"/>
      <c r="F145" s="3"/>
      <c r="G145" s="3"/>
      <c r="H145" s="3"/>
      <c r="I145" s="11"/>
      <c r="J145" s="3"/>
    </row>
    <row r="146" ht="15.75" customHeight="1">
      <c r="A146" s="3"/>
      <c r="B146" s="10"/>
      <c r="C146" s="10"/>
      <c r="D146" s="10"/>
      <c r="E146" s="3"/>
      <c r="F146" s="3"/>
      <c r="G146" s="3"/>
      <c r="H146" s="3"/>
      <c r="I146" s="11"/>
      <c r="J146" s="3"/>
    </row>
    <row r="147" ht="15.75" customHeight="1">
      <c r="A147" s="3"/>
      <c r="B147" s="10"/>
      <c r="C147" s="10"/>
      <c r="D147" s="10"/>
      <c r="E147" s="3"/>
      <c r="F147" s="3"/>
      <c r="G147" s="3"/>
      <c r="H147" s="3"/>
      <c r="I147" s="11"/>
      <c r="J147" s="3"/>
    </row>
    <row r="148" ht="15.75" customHeight="1">
      <c r="A148" s="3"/>
      <c r="B148" s="40"/>
      <c r="C148" s="15"/>
      <c r="D148" s="15"/>
      <c r="E148" s="15"/>
      <c r="F148" s="15"/>
      <c r="G148" s="15"/>
      <c r="H148" s="15"/>
      <c r="I148" s="11"/>
      <c r="J148" s="15"/>
    </row>
    <row r="149" ht="15.75" customHeight="1">
      <c r="A149" s="3"/>
      <c r="B149" s="10"/>
      <c r="C149" s="10"/>
      <c r="D149" s="10"/>
      <c r="E149" s="3"/>
      <c r="F149" s="3"/>
      <c r="G149" s="3"/>
      <c r="H149" s="3"/>
      <c r="I149" s="11"/>
      <c r="J149" s="3"/>
    </row>
    <row r="150" ht="15.75" customHeight="1">
      <c r="A150" s="3"/>
      <c r="B150" s="10"/>
      <c r="C150" s="10"/>
      <c r="D150" s="10"/>
      <c r="E150" s="3"/>
      <c r="F150" s="3"/>
      <c r="G150" s="3"/>
      <c r="H150" s="3"/>
      <c r="I150" s="11"/>
      <c r="J150" s="3"/>
    </row>
    <row r="151" ht="15.75" customHeight="1">
      <c r="A151" s="3"/>
      <c r="B151" s="10"/>
      <c r="C151" s="10"/>
      <c r="D151" s="10"/>
      <c r="E151" s="3"/>
      <c r="F151" s="3"/>
      <c r="G151" s="3"/>
      <c r="H151" s="3"/>
      <c r="I151" s="11"/>
      <c r="J151" s="3"/>
    </row>
    <row r="152" ht="15.75" customHeight="1">
      <c r="A152" s="3"/>
      <c r="B152" s="10"/>
      <c r="C152" s="10"/>
      <c r="D152" s="10"/>
      <c r="E152" s="3"/>
      <c r="F152" s="3"/>
      <c r="G152" s="3"/>
      <c r="H152" s="3"/>
      <c r="I152" s="11"/>
      <c r="J152" s="3"/>
    </row>
    <row r="153" ht="15.75" customHeight="1">
      <c r="A153" s="3"/>
      <c r="B153" s="10"/>
      <c r="C153" s="10"/>
      <c r="D153" s="10"/>
      <c r="E153" s="3"/>
      <c r="F153" s="3"/>
      <c r="G153" s="3"/>
      <c r="H153" s="3"/>
      <c r="I153" s="11"/>
      <c r="J153" s="3"/>
    </row>
    <row r="154" ht="15.75" customHeight="1">
      <c r="A154" s="3"/>
      <c r="B154" s="10"/>
      <c r="C154" s="10"/>
      <c r="D154" s="10"/>
      <c r="E154" s="3"/>
      <c r="F154" s="3"/>
      <c r="G154" s="3"/>
      <c r="H154" s="3"/>
      <c r="I154" s="11"/>
      <c r="J154" s="3"/>
    </row>
    <row r="155" ht="15.75" customHeight="1">
      <c r="A155" s="3"/>
      <c r="B155" s="10"/>
      <c r="C155" s="10"/>
      <c r="D155" s="10"/>
      <c r="E155" s="3"/>
      <c r="F155" s="3"/>
      <c r="G155" s="3"/>
      <c r="H155" s="3"/>
      <c r="I155" s="11"/>
      <c r="J155" s="3"/>
    </row>
    <row r="156" ht="15.75" customHeight="1">
      <c r="A156" s="3"/>
      <c r="B156" s="10"/>
      <c r="C156" s="10"/>
      <c r="D156" s="10"/>
      <c r="E156" s="3"/>
      <c r="F156" s="3"/>
      <c r="G156" s="3"/>
      <c r="H156" s="3"/>
      <c r="I156" s="11"/>
      <c r="J156" s="3"/>
    </row>
    <row r="157" ht="15.75" customHeight="1">
      <c r="A157" s="3"/>
      <c r="B157" s="10"/>
      <c r="C157" s="10"/>
      <c r="D157" s="10"/>
      <c r="E157" s="3"/>
      <c r="F157" s="3"/>
      <c r="G157" s="3"/>
      <c r="H157" s="3"/>
      <c r="I157" s="11"/>
      <c r="J157" s="3"/>
    </row>
    <row r="158" ht="15.75" customHeight="1">
      <c r="A158" s="3"/>
      <c r="B158" s="10"/>
      <c r="C158" s="10"/>
      <c r="D158" s="10"/>
      <c r="E158" s="3"/>
      <c r="F158" s="3"/>
      <c r="G158" s="3"/>
      <c r="H158" s="3"/>
      <c r="I158" s="11"/>
      <c r="J158" s="3"/>
    </row>
    <row r="159" ht="15.75" customHeight="1">
      <c r="A159" s="3"/>
      <c r="B159" s="10"/>
      <c r="C159" s="10"/>
      <c r="D159" s="10"/>
      <c r="E159" s="3"/>
      <c r="F159" s="3"/>
      <c r="G159" s="3"/>
      <c r="H159" s="3"/>
      <c r="I159" s="11"/>
      <c r="J159" s="3"/>
    </row>
    <row r="160" ht="15.75" customHeight="1">
      <c r="A160" s="3"/>
      <c r="B160" s="10"/>
      <c r="C160" s="10"/>
      <c r="D160" s="10"/>
      <c r="E160" s="3"/>
      <c r="F160" s="3"/>
      <c r="G160" s="3"/>
      <c r="H160" s="3"/>
      <c r="I160" s="11"/>
      <c r="J160" s="3"/>
    </row>
    <row r="161" ht="15.75" customHeight="1">
      <c r="A161" s="3"/>
      <c r="B161" s="10"/>
      <c r="C161" s="10"/>
      <c r="D161" s="10"/>
      <c r="E161" s="3"/>
      <c r="F161" s="3"/>
      <c r="G161" s="3"/>
      <c r="H161" s="3"/>
      <c r="I161" s="11"/>
      <c r="J161" s="3"/>
    </row>
    <row r="162" ht="15.75" customHeight="1">
      <c r="B162" s="23"/>
    </row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>
      <c r="B172" s="24"/>
    </row>
    <row r="173" ht="15.75" customHeight="1"/>
    <row r="174" ht="15.75" customHeight="1">
      <c r="B174" s="23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